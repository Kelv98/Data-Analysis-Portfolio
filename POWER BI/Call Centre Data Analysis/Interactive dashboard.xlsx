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hidePivotFieldList="1"/>
  <mc:AlternateContent xmlns:mc="http://schemas.openxmlformats.org/markup-compatibility/2006">
    <mc:Choice Requires="x15">
      <x15ac:absPath xmlns:x15ac="http://schemas.microsoft.com/office/spreadsheetml/2010/11/ac" url="C:\Users\Admin\OneDrive\Documents\Statistics\Excel Files\Portfolio\Call Centre Analysis\"/>
    </mc:Choice>
  </mc:AlternateContent>
  <xr:revisionPtr revIDLastSave="2" documentId="13_ncr:1_{20BDF516-925E-4B45-AA74-7C96F2C77B0C}" xr6:coauthVersionLast="36" xr6:coauthVersionMax="47" xr10:uidLastSave="{A11843E5-45A0-4696-9EC6-18B6C9FBD2C7}"/>
  <bookViews>
    <workbookView minimized="1" xWindow="0" yWindow="0" windowWidth="19180" windowHeight="8830" activeTab="1" xr2:uid="{26D4546B-D2A1-4444-8EAF-A6228F96F0C1}"/>
  </bookViews>
  <sheets>
    <sheet name="Data" sheetId="2" r:id="rId1"/>
    <sheet name="Pivot table" sheetId="7" r:id="rId2"/>
    <sheet name="visualization" sheetId="5" r:id="rId3"/>
    <sheet name="Assets" sheetId="4" r:id="rId4"/>
  </sheets>
  <definedNames>
    <definedName name="_xlnm._FilterDatabase" localSheetId="0" hidden="1">Data!$B$3:$H$1003</definedName>
    <definedName name="_xlcn.WorksheetConnection_CallCentreRenewedCopy1.xlsxcalls1" hidden="1">calls[]</definedName>
    <definedName name="_xlcn.WorksheetConnection_CallCentreRenewedCopy1.xlsxcustomers1" hidden="1">customers[]</definedName>
    <definedName name="Slicer_Representative">#N/A</definedName>
  </definedNames>
  <calcPr calcId="191029"/>
  <pivotCaches>
    <pivotCache cacheId="0" r:id="rId5"/>
    <pivotCache cacheId="1" r:id="rId6"/>
    <pivotCache cacheId="2" r:id="rId7"/>
    <pivotCache cacheId="138" r:id="rId8"/>
    <pivotCache cacheId="141" r:id="rId9"/>
    <pivotCache cacheId="144" r:id="rId10"/>
    <pivotCache cacheId="147" r:id="rId11"/>
    <pivotCache cacheId="150" r:id="rId12"/>
    <pivotCache cacheId="153"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re-Renewed - Copy1.xlsx!customers"/>
          <x15:modelTable id="calls" name="calls" connection="WorksheetConnection_Call Centre-Renewed - Copy1.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AS5" i="5" l="1"/>
  <c r="AS6" i="5"/>
  <c r="AS7" i="5"/>
  <c r="AS9" i="5"/>
  <c r="AS10" i="5"/>
  <c r="AS11" i="5"/>
  <c r="AS12" i="5"/>
  <c r="AS13" i="5"/>
  <c r="AS14" i="5"/>
  <c r="AS16" i="5"/>
  <c r="AS17" i="5"/>
  <c r="AS18" i="5"/>
  <c r="AS19" i="5"/>
  <c r="AS20" i="5"/>
  <c r="AT3" i="5"/>
  <c r="AU3" i="5"/>
  <c r="AV3" i="5"/>
  <c r="AW3" i="5"/>
  <c r="AS3" i="5"/>
  <c r="AR3" i="5"/>
  <c r="AR8" i="5"/>
  <c r="AR4" i="5"/>
  <c r="AS4" i="5"/>
  <c r="AT4" i="5"/>
  <c r="AU4" i="5"/>
  <c r="AV4" i="5"/>
  <c r="AW4" i="5"/>
  <c r="AR5" i="5"/>
  <c r="AT5" i="5"/>
  <c r="AU5" i="5"/>
  <c r="AV5" i="5"/>
  <c r="AW5" i="5"/>
  <c r="AR6" i="5"/>
  <c r="AT6" i="5"/>
  <c r="AU6" i="5"/>
  <c r="AV6" i="5"/>
  <c r="AW6" i="5"/>
  <c r="AR7" i="5"/>
  <c r="AT7" i="5"/>
  <c r="AU7" i="5"/>
  <c r="AV7" i="5"/>
  <c r="AW7" i="5"/>
  <c r="AR9" i="5"/>
  <c r="AT9" i="5"/>
  <c r="AU9" i="5"/>
  <c r="AV9" i="5"/>
  <c r="AW9" i="5"/>
  <c r="AR10" i="5"/>
  <c r="AT10" i="5"/>
  <c r="AU10" i="5"/>
  <c r="AV10" i="5"/>
  <c r="AW10" i="5"/>
  <c r="AR11" i="5"/>
  <c r="AT11" i="5"/>
  <c r="AU11" i="5"/>
  <c r="AV11" i="5"/>
  <c r="AW11" i="5"/>
  <c r="AR12" i="5"/>
  <c r="AT12" i="5"/>
  <c r="AU12" i="5"/>
  <c r="AV12" i="5"/>
  <c r="AW12" i="5"/>
  <c r="AR13" i="5"/>
  <c r="AT13" i="5"/>
  <c r="AU13" i="5"/>
  <c r="AV13" i="5"/>
  <c r="AW13" i="5"/>
  <c r="AR14" i="5"/>
  <c r="AT14" i="5"/>
  <c r="AU14" i="5"/>
  <c r="AV14" i="5"/>
  <c r="AW14" i="5"/>
  <c r="AR15" i="5"/>
  <c r="AR16" i="5"/>
  <c r="AT16" i="5"/>
  <c r="AU16" i="5"/>
  <c r="AV16" i="5"/>
  <c r="AW16" i="5"/>
  <c r="AR17" i="5"/>
  <c r="AT17" i="5"/>
  <c r="AU17" i="5"/>
  <c r="AV17" i="5"/>
  <c r="AW17" i="5"/>
  <c r="AR18" i="5"/>
  <c r="AT18" i="5"/>
  <c r="AU18" i="5"/>
  <c r="AV18" i="5"/>
  <c r="AW18" i="5"/>
  <c r="AR19" i="5"/>
  <c r="AT19" i="5"/>
  <c r="AU19" i="5"/>
  <c r="AV19" i="5"/>
  <c r="AW19" i="5"/>
  <c r="AR20" i="5"/>
  <c r="AT20" i="5"/>
  <c r="AU20" i="5"/>
  <c r="AV20" i="5"/>
  <c r="AW20" i="5"/>
  <c r="P36" i="7" l="1"/>
  <c r="O36" i="7"/>
  <c r="L39" i="7"/>
  <c r="M39" i="7"/>
  <c r="N39" i="7"/>
  <c r="L40" i="7"/>
  <c r="M40" i="7"/>
  <c r="N40" i="7"/>
  <c r="L41" i="7"/>
  <c r="M41" i="7"/>
  <c r="N41" i="7"/>
  <c r="L42" i="7"/>
  <c r="M42" i="7"/>
  <c r="N42" i="7"/>
  <c r="M38" i="7"/>
  <c r="N38" i="7"/>
  <c r="L38" i="7"/>
  <c r="P40" i="7" l="1"/>
  <c r="P41" i="7"/>
  <c r="O38" i="7"/>
  <c r="O41" i="7"/>
  <c r="O42" i="7"/>
  <c r="P38" i="7"/>
  <c r="P39" i="7"/>
  <c r="P42" i="7"/>
  <c r="O40" i="7"/>
  <c r="O39"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47FA4A-03F1-4C2D-9EEE-00842626420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6A5BC3-13A1-4EE4-B18E-A200A7633529}" name="WorksheetConnection_Call Centre-Renewed - Copy1.xlsx!calls" type="102" refreshedVersion="6" minRefreshableVersion="5">
    <extLst>
      <ext xmlns:x15="http://schemas.microsoft.com/office/spreadsheetml/2010/11/main" uri="{DE250136-89BD-433C-8126-D09CA5730AF9}">
        <x15:connection id="calls" autoDelete="1">
          <x15:rangePr sourceName="_xlcn.WorksheetConnection_CallCentreRenewedCopy1.xlsxcalls1"/>
        </x15:connection>
      </ext>
    </extLst>
  </connection>
  <connection id="3" xr16:uid="{6F85B045-CEB7-4C71-AA06-4A9302A12F3C}" name="WorksheetConnection_Call Centre-Renewed - Copy1.xlsx!customers" type="102" refreshedVersion="6" minRefreshableVersion="5">
    <extLst>
      <ext xmlns:x15="http://schemas.microsoft.com/office/spreadsheetml/2010/11/main" uri="{DE250136-89BD-433C-8126-D09CA5730AF9}">
        <x15:connection id="customers">
          <x15:rangePr sourceName="_xlcn.WorksheetConnection_CallCentreRenewedCopy1.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<sst xmlns="http://schemas.openxmlformats.org/spreadsheetml/2006/main" count="3155" uniqueCount="1076">
  <si>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</si>
  <si>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</si>
  <si>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</si>
  <si>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</si>
  <si>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</si>
  <si>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</si>
  <si>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</si>
  <si>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</si>
  <si>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</si>
  <si>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</si>
  <si>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</si>
  <si>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</si>
  <si>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</si>
  <si>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</si>
  <si>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</si>
  <si>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</si>
  <si>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</si>
  <si>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</si>
  <si>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</si>
  <si>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</si>
  <si>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</si>
  <si>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</si>
  <si>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</si>
  <si>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</si>
  <si>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</si>
  <si>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</si>
  <si>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</si>
  <si>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</si>
  <si>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</si>
  <si>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</si>
  <si>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</si>
  <si>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</si>
  <si>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</si>
  <si>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</si>
  <si>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</si>
  <si>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</si>
  <si>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</si>
  <si>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</si>
  <si>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</si>
  <si>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</si>
  <si>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</si>
  <si>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</si>
  <si>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</si>
  <si>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</si>
  <si>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</si>
  <si>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</si>
  <si>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</si>
  <si>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</si>
  <si>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</si>
  <si>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</si>
  <si>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</si>
  <si>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</si>
  <si>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</si>
  <si>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</si>
  <si>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</si>
  <si>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</si>
  <si>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</si>
  <si>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</si>
  <si>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</si>
  <si>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</si>
  <si>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</si>
  <si>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</si>
  <si>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</si>
  <si>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</si>
  <si>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</si>
  <si>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</si>
  <si>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</si>
  <si>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</si>
  <si>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</si>
  <si>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</si>
  <si>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</si>
  <si>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</si>
  <si>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</si>
  <si>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</si>
  <si>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</si>
  <si>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</si>
  <si>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</si>
  <si>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</si>
  <si>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</si>
  <si>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</si>
  <si>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</si>
  <si>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</si>
  <si>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</si>
  <si>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</si>
  <si>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</si>
  <si>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</si>
  <si>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</si>
  <si>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</si>
  <si>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</si>
  <si>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</si>
  <si>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</si>
  <si>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</si>
  <si>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</si>
  <si>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</si>
  <si>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</si>
  <si>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</si>
  <si>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</si>
  <si>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</si>
  <si>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</si>
  <si>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</si>
  <si>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</si>
  <si>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</si>
  <si>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</si>
  <si>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</si>
  <si>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</si>
  <si>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</si>
  <si>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</si>
  <si>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</si>
  <si>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</si>
  <si>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</si>
  <si>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</si>
  <si>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</si>
  <si>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</si>
  <si>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</si>
  <si>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</si>
  <si>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</si>
  <si>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</si>
  <si>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</si>
  <si>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</si>
  <si>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</si>
  <si>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</si>
  <si>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</si>
  <si>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</si>
  <si>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</si>
  <si>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</si>
  <si>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</si>
  <si>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</si>
  <si>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</si>
  <si>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</si>
  <si>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</si>
  <si>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</si>
  <si>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</si>
  <si>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</si>
  <si>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</si>
  <si>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</si>
  <si>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</si>
  <si>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</si>
  <si>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</si>
  <si>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</si>
  <si>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</si>
  <si>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</si>
  <si>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</si>
  <si>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</si>
  <si>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</si>
  <si>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</si>
  <si>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</si>
  <si>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</si>
  <si>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</si>
  <si>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</si>
  <si>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</si>
  <si>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</si>
  <si>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</si>
  <si>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</si>
  <si>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</si>
  <si>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</si>
  <si>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</si>
  <si>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</si>
  <si>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</si>
  <si>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</si>
  <si>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</si>
  <si>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</si>
  <si>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</si>
  <si>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</si>
  <si>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</si>
  <si>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</si>
  <si>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</si>
  <si>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</si>
  <si>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</si>
  <si>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</si>
  <si>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</si>
  <si>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</si>
  <si>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</si>
  <si>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</si>
  <si>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</si>
  <si>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</si>
  <si>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</si>
  <si>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</si>
  <si>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</si>
  <si>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</si>
  <si>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</si>
  <si>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</si>
  <si>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</si>
  <si>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</si>
  <si>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</si>
  <si>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</si>
  <si>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</si>
  <si>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</si>
  <si>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</si>
  <si>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</si>
  <si>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</si>
  <si>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</si>
  <si>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</si>
  <si>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</si>
  <si>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</si>
  <si>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</si>
  <si>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</si>
  <si>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</si>
  <si>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</si>
  <si>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</si>
  <si>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</si>
  <si>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</si>
  <si>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</si>
  <si>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</si>
  <si>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</si>
  <si>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</si>
  <si>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</si>
  <si>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</si>
  <si>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</si>
  <si>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</si>
  <si>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</si>
  <si>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</si>
  <si>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</si>
  <si>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</si>
  <si>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</si>
  <si>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</si>
  <si>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</si>
  <si>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</si>
  <si>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</si>
  <si>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</si>
  <si>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</si>
  <si>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</si>
  <si>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</si>
  <si>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</si>
  <si>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</si>
  <si>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</si>
  <si>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</si>
  <si>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</si>
  <si>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</si>
  <si>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</si>
  <si>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</si>
  <si>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</si>
  <si>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</si>
  <si>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</si>
  <si>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</si>
  <si>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</si>
  <si>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</si>
  <si>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</si>
  <si>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</si>
  <si>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</si>
  <si>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</si>
  <si>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</si>
  <si>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</si>
  <si>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</si>
  <si>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</si>
  <si>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</si>
  <si>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</si>
  <si>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</si>
  <si>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</si>
  <si>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</si>
  <si>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</si>
  <si>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</si>
  <si>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</si>
  <si>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</si>
  <si>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</si>
  <si>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</si>
  <si>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</si>
  <si>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</si>
  <si>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</si>
  <si>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</si>
  <si>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</si>
  <si>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</si>
  <si>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</si>
  <si>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</si>
  <si>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</si>
  <si>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</si>
  <si>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</si>
  <si>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</si>
  <si>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</si>
  <si>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</si>
  <si>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</si>
  <si>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</si>
  <si>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</si>
  <si>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</si>
  <si>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</si>
  <si>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</si>
  <si>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</si>
  <si>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</si>
  <si>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</si>
  <si>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</si>
  <si>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</si>
  <si>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</si>
  <si>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</si>
  <si>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</si>
  <si>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</si>
  <si>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</si>
  <si>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</si>
  <si>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</si>
  <si>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</si>
  <si>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</si>
  <si>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</si>
  <si>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</si>
  <si>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</si>
  <si>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</si>
  <si>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</si>
  <si>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</si>
  <si>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</si>
  <si>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</si>
  <si>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</si>
  <si>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</si>
  <si>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</si>
  <si>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</si>
  <si>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</si>
  <si>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</si>
  <si>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</si>
  <si>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</si>
  <si>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</si>
  <si>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</si>
  <si>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</si>
  <si>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</si>
  <si>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</si>
  <si>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</si>
  <si>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</si>
  <si>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</si>
  <si>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</si>
  <si>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</si>
  <si>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</si>
  <si>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</si>
  <si>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</si>
  <si>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</si>
  <si>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</si>
  <si>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</si>
  <si>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</si>
  <si>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</si>
  <si>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</si>
  <si>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</si>
  <si>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</si>
  <si>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</si>
  <si>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</si>
  <si>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</si>
  <si>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</si>
  <si>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</si>
  <si>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</si>
  <si>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</si>
  <si>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</si>
  <si>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</si>
  <si>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</si>
  <si>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</si>
  <si>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</si>
  <si>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</si>
  <si>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</si>
  <si>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</si>
  <si>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</si>
  <si>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</si>
  <si>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</si>
  <si>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</si>
  <si>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</si>
  <si>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</si>
  <si>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</si>
  <si>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</si>
  <si>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</si>
  <si>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</si>
  <si>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</si>
  <si>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</si>
  <si>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</si>
  <si>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</si>
  <si>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</si>
  <si>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</si>
  <si>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</si>
  <si>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</si>
  <si>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</si>
  <si>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</si>
  <si>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</si>
  <si>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</si>
  <si>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</si>
  <si>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</si>
  <si>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</si>
  <si>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</si>
  <si>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</si>
  <si>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</si>
  <si>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</si>
  <si>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</si>
  <si>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</si>
  <si>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</si>
  <si>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</si>
  <si>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</si>
  <si>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</si>
  <si>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</si>
  <si>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</si>
  <si>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</si>
  <si>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</si>
  <si>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</si>
  <si>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</si>
  <si>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</si>
  <si>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</si>
  <si>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</si>
  <si>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</si>
  <si>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</si>
  <si>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</si>
  <si>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</si>
  <si>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</si>
  <si>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</si>
  <si>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</si>
  <si>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</si>
  <si>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</si>
  <si>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</si>
  <si>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</si>
  <si>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</si>
  <si>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</si>
  <si>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</si>
  <si>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</si>
  <si>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</si>
  <si>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</si>
  <si>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</si>
  <si>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</si>
  <si>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</si>
  <si>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</si>
  <si>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</si>
  <si>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</si>
  <si>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</si>
  <si>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</si>
  <si>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</si>
  <si>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</si>
  <si>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</si>
  <si>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</si>
  <si>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</si>
  <si>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</si>
  <si>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</si>
  <si>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</si>
  <si>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</si>
  <si>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</si>
  <si>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</si>
  <si>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</si>
  <si>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</si>
  <si>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</si>
  <si>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</si>
  <si>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</si>
  <si>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</si>
  <si>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</si>
  <si>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</si>
  <si>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</si>
  <si>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</si>
  <si>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</si>
  <si>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</si>
  <si>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</si>
  <si>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</si>
  <si>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</si>
  <si>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</si>
  <si>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</si>
  <si>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</si>
  <si>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</si>
  <si>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</si>
  <si>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</si>
  <si>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</si>
  <si>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</si>
  <si>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</si>
  <si>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</si>
  <si>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</si>
  <si>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</si>
  <si>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</si>
  <si>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</si>
  <si>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</si>
  <si>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</si>
  <si>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</si>
  <si>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</si>
  <si>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</si>
  <si>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</si>
  <si>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</si>
  <si>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</si>
  <si>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</si>
  <si>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</si>
  <si>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</si>
  <si>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</si>
  <si>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</si>
  <si>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</si>
  <si>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</si>
  <si>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</si>
  <si>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</si>
  <si>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</si>
  <si>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</si>
  <si>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</si>
  <si>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</si>
  <si>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</si>
  <si>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</si>
  <si>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</si>
  <si>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</si>
  <si>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</si>
  <si>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</si>
  <si>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</si>
  <si>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</si>
  <si>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</si>
  <si>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</si>
  <si>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</si>
  <si>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</si>
  <si>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</si>
  <si>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</si>
  <si>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</si>
  <si>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</si>
  <si>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</si>
  <si>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</si>
  <si>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</si>
  <si>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</si>
  <si>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</si>
  <si>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</si>
  <si>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</si>
  <si>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</si>
  <si>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</si>
  <si>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</si>
  <si>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</si>
  <si>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</si>
  <si>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</si>
  <si>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</si>
  <si>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</si>
  <si>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</si>
  <si>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</si>
  <si>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</si>
  <si>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</si>
  <si>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</si>
  <si>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</si>
  <si>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</si>
  <si>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</si>
  <si>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</si>
  <si>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</si>
  <si>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</si>
  <si>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</si>
  <si>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</si>
  <si>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</si>
  <si>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</si>
  <si>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</si>
  <si>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</si>
  <si>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</si>
  <si>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</si>
  <si>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</si>
  <si>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</si>
  <si>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</si>
  <si>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</si>
  <si>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</si>
  <si>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</si>
  <si>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</si>
  <si>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</si>
  <si>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</si>
  <si>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</si>
  <si>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</si>
  <si>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</si>
  <si>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</si>
  <si>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</si>
  <si>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</si>
  <si>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</si>
  <si>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</si>
  <si>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</si>
  <si>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</si>
  <si>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</si>
  <si>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</si>
  <si>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</si>
  <si>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</si>
  <si>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</si>
  <si>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</si>
  <si>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</si>
  <si>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</si>
  <si>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</si>
  <si>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</si>
  <si>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</si>
  <si>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</si>
  <si>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</si>
  <si>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</si>
  <si>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</si>
  <si>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</si>
  <si>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</si>
  <si>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</si>
  <si>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</si>
  <si>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</si>
  <si>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</si>
  <si>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</si>
  <si>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</si>
  <si>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</si>
  <si>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</si>
  <si>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</si>
  <si>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</si>
  <si>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</si>
  <si>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</si>
  <si>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</si>
  <si>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</si>
  <si>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</si>
  <si>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</si>
  <si>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</si>
  <si>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</si>
  <si>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</si>
  <si>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</si>
  <si>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</si>
  <si>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</si>
  <si>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</si>
  <si>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</si>
  <si>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</si>
  <si>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</si>
  <si>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</si>
  <si>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</si>
  <si>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</si>
  <si>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</si>
  <si>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</si>
  <si>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</si>
  <si>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</si>
  <si>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</si>
  <si>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</si>
  <si>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</si>
  <si>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</si>
  <si>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</si>
  <si>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</si>
  <si>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</si>
  <si>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</si>
  <si>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</si>
  <si>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</si>
  <si>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</si>
  <si>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</si>
  <si>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</si>
  <si>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</si>
  <si>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</si>
  <si>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</si>
  <si>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</si>
  <si>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</si>
  <si>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</si>
  <si>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</si>
  <si>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</si>
  <si>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</si>
  <si>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</si>
  <si>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</si>
  <si>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</si>
  <si>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</si>
  <si>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</si>
  <si>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</si>
  <si>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</si>
  <si>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</si>
  <si>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</si>
  <si>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</si>
  <si>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</si>
  <si>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</si>
  <si>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</si>
  <si>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</si>
  <si>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</si>
  <si>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</si>
  <si>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</si>
  <si>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</si>
  <si>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</si>
  <si>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</si>
  <si>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</si>
  <si>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</si>
  <si>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</si>
  <si>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</si>
  <si>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</si>
  <si>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</si>
  <si>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</si>
  <si>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</si>
  <si>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</si>
  <si>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</si>
  <si>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</si>
  <si>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</si>
  <si>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</si>
  <si>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</si>
  <si>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</si>
  <si>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</si>
  <si>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</si>
  <si>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</si>
  <si>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</si>
  <si>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</si>
  <si>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</si>
  <si>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</si>
  <si>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</si>
  <si>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</si>
  <si>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</si>
  <si>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</si>
  <si>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</si>
  <si>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</si>
  <si>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</si>
  <si>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</si>
  <si>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</si>
  <si>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</si>
  <si>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</si>
  <si>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</si>
  <si>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</si>
  <si>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</si>
  <si>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</si>
  <si>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</si>
  <si>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</si>
  <si>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</si>
  <si>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</si>
  <si>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</si>
  <si>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</si>
  <si>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</si>
  <si>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</si>
  <si>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</si>
  <si>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</si>
  <si>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</si>
  <si>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</si>
  <si>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</si>
  <si>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</si>
  <si>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</si>
  <si>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</si>
  <si>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</si>
  <si>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</si>
  <si>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</si>
  <si>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</si>
  <si>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</si>
  <si>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</si>
  <si>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</si>
  <si>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</si>
  <si>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</si>
  <si>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</si>
  <si>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</si>
  <si>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</si>
  <si>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</si>
  <si>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</si>
  <si>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</si>
  <si>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</si>
  <si>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</si>
  <si>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</si>
  <si>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</si>
  <si>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</si>
  <si>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</si>
  <si>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</si>
  <si>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</si>
  <si>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</si>
  <si>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</si>
  <si>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</si>
  <si>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</si>
  <si>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</si>
  <si>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</si>
  <si>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</si>
  <si>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</si>
  <si>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</si>
  <si>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</si>
  <si>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</si>
  <si>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</si>
  <si>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</si>
  <si>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</si>
  <si>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</si>
  <si>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</si>
  <si>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</si>
  <si>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</si>
  <si>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</si>
  <si>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</si>
  <si>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</si>
  <si>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</si>
  <si>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</si>
  <si>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</si>
  <si>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</si>
  <si>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</si>
  <si>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</si>
  <si>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</si>
  <si>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</si>
  <si>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</si>
  <si>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</si>
  <si>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</si>
  <si>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</si>
  <si>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</si>
  <si>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</si>
  <si>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</si>
  <si>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</si>
  <si>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</si>
  <si>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</si>
  <si>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</si>
  <si>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</si>
  <si>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</si>
  <si>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</si>
  <si>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</si>
  <si>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</si>
  <si>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</si>
  <si>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</si>
  <si>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</si>
  <si>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</si>
  <si>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</si>
  <si>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</si>
  <si>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</si>
  <si>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</si>
  <si>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</si>
  <si>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</si>
  <si>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</si>
  <si>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</si>
  <si>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</si>
  <si>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</si>
  <si>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</si>
  <si>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</si>
  <si>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</si>
  <si>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</si>
  <si>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</si>
  <si>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</si>
  <si>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</si>
  <si>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</si>
  <si>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</si>
  <si>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</si>
  <si>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</si>
  <si>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</si>
  <si>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</si>
  <si>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</si>
  <si>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</si>
  <si>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</si>
  <si>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</si>
  <si>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</si>
  <si>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</si>
  <si>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</si>
  <si>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</si>
  <si>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</si>
  <si>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</si>
  <si>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</si>
  <si>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</si>
  <si>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</si>
  <si>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</si>
  <si>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</si>
  <si>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</si>
  <si>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</si>
  <si>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</si>
  <si>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</si>
  <si>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</si>
  <si>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</si>
  <si>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</si>
  <si>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</si>
  <si>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</si>
  <si>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</si>
  <si>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</si>
  <si>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</si>
  <si>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</si>
  <si>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</si>
  <si>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</si>
  <si>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</si>
  <si>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</si>
  <si>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</si>
  <si>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</si>
  <si>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</si>
  <si>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</si>
  <si>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</si>
  <si>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</si>
  <si>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</si>
  <si>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</si>
  <si>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</si>
  <si>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</si>
  <si>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</si>
  <si>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</si>
  <si>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</si>
  <si>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</si>
  <si>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</si>
  <si>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</si>
  <si>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</si>
  <si>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</si>
  <si>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</si>
  <si>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</si>
  <si>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</si>
  <si>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</si>
  <si>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</si>
  <si>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</si>
  <si>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</si>
  <si>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</si>
  <si>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</si>
  <si>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</si>
  <si>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</si>
  <si>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</si>
  <si>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</si>
  <si>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</si>
  <si>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</si>
  <si>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</si>
  <si>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</si>
  <si>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</si>
  <si>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</si>
  <si>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</si>
  <si>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</si>
  <si>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</si>
  <si>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</si>
  <si>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</si>
  <si>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</si>
  <si>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</si>
  <si>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</si>
  <si>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</si>
  <si>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</si>
  <si>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</si>
  <si>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</si>
  <si>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</si>
  <si>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</si>
  <si>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</si>
  <si>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</si>
  <si>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</si>
  <si>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</si>
  <si>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</si>
  <si>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</si>
  <si>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</si>
  <si>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</si>
  <si>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</si>
  <si>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</si>
  <si>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</si>
  <si>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</si>
  <si>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</si>
  <si>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</si>
  <si>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</si>
  <si>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</si>
  <si>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</si>
  <si>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</si>
  <si>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</si>
  <si>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</si>
  <si>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</si>
  <si>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</si>
  <si>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</si>
  <si>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</si>
  <si>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</si>
  <si>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</si>
  <si>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</si>
  <si>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</si>
  <si>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</si>
  <si>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</si>
  <si>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</si>
  <si>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</si>
  <si>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</si>
  <si>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</si>
  <si>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</si>
  <si>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</si>
  <si>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</si>
  <si>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</si>
  <si>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</si>
  <si>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</si>
  <si>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</si>
  <si>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</si>
  <si>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</si>
  <si>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</si>
  <si>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</si>
  <si>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</si>
  <si>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</si>
  <si>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</si>
  <si>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</si>
  <si>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</si>
  <si>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</si>
  <si>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</si>
  <si>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</si>
  <si>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</si>
  <si>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</si>
  <si>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</si>
  <si>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</si>
  <si>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</si>
  <si>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</si>
  <si>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</si>
  <si>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</si>
  <si>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</si>
  <si>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</si>
  <si>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</si>
  <si>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</si>
  <si>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</si>
  <si>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</si>
  <si>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</si>
  <si>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</si>
  <si>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</si>
  <si>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</si>
  <si>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</si>
  <si>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</si>
  <si>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</si>
  <si>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</si>
  <si>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</si>
  <si>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</si>
  <si>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</si>
  <si>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</si>
  <si>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</si>
  <si>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</si>
  <si>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</si>
  <si>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</si>
  <si>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</si>
  <si>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</si>
  <si>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</si>
  <si>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</si>
  <si>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</si>
  <si>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</si>
  <si>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</si>
  <si>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</si>
  <si>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</si>
  <si>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</si>
  <si>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</si>
  <si>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</si>
  <si>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</si>
  <si>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</si>
  <si>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</si>
  <si>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</si>
  <si>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</si>
  <si>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</si>
  <si>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</si>
  <si>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</si>
  <si>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</si>
  <si>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</si>
  <si>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</si>
  <si>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</si>
  <si>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</si>
  <si>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</si>
  <si>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</si>
  <si>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</si>
  <si>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</si>
  <si>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</si>
  <si>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</si>
  <si>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</si>
  <si>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</si>
  <si>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</si>
  <si>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</si>
  <si>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</si>
  <si>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</si>
  <si>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</si>
  <si>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</si>
  <si>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</si>
  <si>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</si>
  <si>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</si>
  <si>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</si>
  <si>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</si>
  <si>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</si>
  <si>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</si>
  <si>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</si>
  <si>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</si>
  <si>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</si>
  <si>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</si>
  <si>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</si>
  <si>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</si>
  <si>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</si>
  <si>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</si>
  <si>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</si>
  <si>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</si>
  <si>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</si>
  <si>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</si>
  <si>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</si>
  <si>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</si>
  <si>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</si>
  <si>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</si>
  <si>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</si>
  <si>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</si>
  <si>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</si>
  <si>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</si>
  <si>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</si>
  <si>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</si>
  <si>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</si>
  <si>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</si>
  <si>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</si>
  <si>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</si>
  <si>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</si>
  <si>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</si>
  <si>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</si>
  <si>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</si>
  <si>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</si>
  <si>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</si>
  <si>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</si>
  <si>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</si>
  <si>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</si>
  <si>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</si>
  <si>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</si>
  <si>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</si>
  <si>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</si>
  <si>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</si>
  <si>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</si>
  <si>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</si>
  <si>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</si>
  <si>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</si>
  <si>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</si>
  <si>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</si>
  <si>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</si>
  <si>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</si>
  <si>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</si>
  <si>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</si>
  <si>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</si>
  <si>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Call Cost</t>
  </si>
  <si>
    <t>Total Duration</t>
  </si>
  <si>
    <t>Average Rating</t>
  </si>
  <si>
    <t>5*Calls</t>
  </si>
  <si>
    <t>Count of Day of week</t>
  </si>
  <si>
    <t>Row Labels</t>
  </si>
  <si>
    <t>Friday</t>
  </si>
  <si>
    <t>Monday</t>
  </si>
  <si>
    <t>Saturday</t>
  </si>
  <si>
    <t>Sunday</t>
  </si>
  <si>
    <t>Thursday</t>
  </si>
  <si>
    <t>Tuesday</t>
  </si>
  <si>
    <t>Wednesday</t>
  </si>
  <si>
    <t>Column Labels</t>
  </si>
  <si>
    <t>Jan</t>
  </si>
  <si>
    <t>Feb</t>
  </si>
  <si>
    <t>Mar</t>
  </si>
  <si>
    <t>Apr</t>
  </si>
  <si>
    <t>May</t>
  </si>
  <si>
    <t>Jun</t>
  </si>
  <si>
    <t>Jul</t>
  </si>
  <si>
    <t>Aug</t>
  </si>
  <si>
    <t>Sep</t>
  </si>
  <si>
    <t>Oct</t>
  </si>
  <si>
    <t>Nov</t>
  </si>
  <si>
    <t>Dec</t>
  </si>
  <si>
    <t>sel.calls</t>
  </si>
  <si>
    <t>Rep</t>
  </si>
  <si>
    <t>Calls</t>
  </si>
  <si>
    <t>Cost</t>
  </si>
  <si>
    <t>sel.count</t>
  </si>
  <si>
    <t>Count of Date of Call</t>
  </si>
  <si>
    <t>CALL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</si>
</sst>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5" formatCode="&quot;Ksh&quot;#,##0;\-&quot;Ksh&quot;#,##0"/>
    <numFmt numFmtId="44" formatCode="_-&quot;Ksh&quot;* #,##0.00_-;\-&quot;Ksh&quot;* #,##0.00_-;_-&quot;Ksh&quot;* &quot;-&quot;??_-;_-@_-"/>
    <numFmt numFmtId="43" formatCode="_-* #,##0.00_-;\-* #,##0.00_-;_-* &quot;-&quot;??_-;_-@_-"/>
    <numFmt numFmtId="164" formatCode="[$-409]d\-mmm\-yy;@"/>
    <numFmt numFmtId="165" formatCode="&quot;Ksh&quot;#,###.0,\'\K\'"/>
    <numFmt numFmtId="166" formatCode="&quot;Ksh&quot;#,###.0,\ \K"/>
    <numFmt numFmtId="167" formatCode="&quot;Ksh&quot;###,##0.00,\ \K"/>
    <numFmt numFmtId="168" formatCode="&quot;Ksh&quot;#,##0;\-&quot;Ksh&quot;#,##0;&quot;Ksh&quot;#,##0"/>
  </numFmts>
  <fonts count="6">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theme="1"/>
      <name val="Calibri"/>
      <family val="2"/>
      <scheme val="minor"/>
    </font>
    <font>
      <sz val="11"/>
      <color rgb="FF00B0F0"/>
      <name val="Arial Black"/>
      <family val="2"/>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4" fillId="0" borderId="0" applyFont="0" applyFill="0" applyBorder="0" applyAlignment="0" applyProtection="0"/>
    <xf numFmtId="44" fontId="4" fillId="0" borderId="0" applyFont="0" applyFill="0" applyBorder="0" applyAlignment="0" applyProtection="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applyNumberFormat="1"/>
    <xf numFmtId="2" fontId="0" fillId="0" borderId="0" xfId="0" applyNumberFormat="1"/>
    <xf numFmtId="0" fontId="0" fillId="3" borderId="0" xfId="0" applyFill="1"/>
    <xf numFmtId="3" fontId="0" fillId="0" borderId="0" xfId="0" applyNumberFormat="1"/>
    <xf numFmtId="0" fontId="0" fillId="0" borderId="0" xfId="0" pivotButton="1"/>
    <xf numFmtId="0" fontId="0" fillId="0" borderId="0" xfId="0" applyAlignment="1">
      <alignment horizontal="left"/>
    </xf>
    <xf numFmtId="5" fontId="0" fillId="0" borderId="0" xfId="0" applyNumberFormat="1"/>
    <xf numFmtId="165" fontId="0" fillId="0" borderId="0" xfId="1" applyNumberFormat="1" applyFont="1"/>
    <xf numFmtId="0" fontId="0" fillId="4" borderId="0" xfId="0" applyFill="1" applyAlignment="1">
      <alignment horizontal="left"/>
    </xf>
    <xf numFmtId="166" fontId="0" fillId="0" borderId="0" xfId="0" applyNumberFormat="1"/>
    <xf numFmtId="5" fontId="0" fillId="0" borderId="0" xfId="0" applyNumberFormat="1"/>
    <xf numFmtId="0" fontId="0" fillId="0" borderId="0" xfId="0" applyAlignment="1">
      <alignment horizontal="left" indent="1"/>
    </xf>
    <xf numFmtId="0" fontId="1" fillId="3" borderId="0" xfId="0" applyFont="1" applyFill="1"/>
    <xf numFmtId="0" fontId="0" fillId="3" borderId="0" xfId="0" applyFill="1" applyAlignment="1">
      <alignment horizontal="center"/>
    </xf>
    <xf numFmtId="0" fontId="1" fillId="3" borderId="0" xfId="0" applyFont="1" applyFill="1" applyAlignment="1">
      <alignment horizontal="center"/>
    </xf>
    <xf numFmtId="167" fontId="0" fillId="3" borderId="0" xfId="2" applyNumberFormat="1" applyFont="1" applyFill="1" applyAlignment="1">
      <alignment horizontal="center"/>
    </xf>
    <xf numFmtId="0" fontId="5" fillId="3" borderId="0" xfId="0" applyFont="1" applyFill="1" applyAlignment="1"/>
    <xf numFmtId="0" fontId="5" fillId="3" borderId="0" xfId="0" applyFont="1" applyFill="1" applyAlignment="1">
      <alignment horizontal="center"/>
    </xf>
    <xf numFmtId="0" fontId="0" fillId="3" borderId="0" xfId="0" applyFill="1" applyAlignment="1">
      <alignment horizontal="center"/>
    </xf>
    <xf numFmtId="168" fontId="0" fillId="0" borderId="0" xfId="0" applyNumberFormat="1"/>
  </cellXfs>
  <cellStyles count="3">
    <cellStyle name="Comma" xfId="1" builtinId="3"/>
    <cellStyle name="Currency" xfId="2" builtinId="4"/>
    <cellStyle name="Normal" xfId="0" builtinId="0"/>
  </cellStyles>
  <dxfs count="19">
    <dxf>
      <fill>
        <patternFill>
          <bgColor rgb="FF00B0F0"/>
        </patternFill>
      </fill>
    </dxf>
    <dxf>
      <fill>
        <patternFill patternType="solid">
          <bgColor rgb="FF92D05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
      <font>
        <sz val="11"/>
        <color rgb="FF00B0F0"/>
        <name val="Arial Black"/>
        <family val="2"/>
        <scheme val="maj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 pivot="0" table="0" count="10" xr9:uid="{752E45A8-A585-4BB9-8190-74D968FE0435}">
      <tableStyleElement type="wholeTable" dxfId="18"/>
      <tableStyleElement type="headerRow" dxfId="17"/>
    </tableStyle>
    <tableStyle name="Slicer Style 1" pivot="0" table="0" count="1" xr9:uid="{25BABDA2-DB3D-41F6-98D0-3EE7CBB0176F}">
      <tableStyleElement type="wholeTable"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color theme="1"/>
            <name val="Arial Black"/>
            <family val="2"/>
            <scheme val="maj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name val="Arial Black"/>
            <family val="2"/>
            <scheme val="maj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microsoft.com/office/2017/06/relationships/rdRichValueTypes" Target="richData/rdRichValueTypes.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microsoft.com/office/2017/06/relationships/rdRichValue" Target="richData/rdrichvalue.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table!weekday count</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0">
                <a:solidFill>
                  <a:srgbClr val="00B0F0"/>
                </a:solidFill>
                <a:latin typeface="+mj-lt"/>
              </a:rPr>
              <a:t>Calls per Day</a:t>
            </a:r>
          </a:p>
        </c:rich>
      </c:tx>
      <c:layout>
        <c:manualLayout>
          <c:xMode val="edge"/>
          <c:yMode val="edge"/>
          <c:x val="0.25864722381805277"/>
          <c:y val="2.795578437310720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64828537185717"/>
          <c:y val="0.3234371612639329"/>
          <c:w val="0.70425230644452708"/>
          <c:h val="0.67562654668166477"/>
        </c:manualLayout>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table'!$A$13:$A$19</c:f>
              <c:strCache>
                <c:ptCount val="7"/>
                <c:pt idx="0">
                  <c:v>Saturday</c:v>
                </c:pt>
                <c:pt idx="1">
                  <c:v>Friday</c:v>
                </c:pt>
                <c:pt idx="2">
                  <c:v>Thursday</c:v>
                </c:pt>
                <c:pt idx="3">
                  <c:v>Wednesday</c:v>
                </c:pt>
                <c:pt idx="4">
                  <c:v>Tuesday</c:v>
                </c:pt>
                <c:pt idx="5">
                  <c:v>Monday</c:v>
                </c:pt>
                <c:pt idx="6">
                  <c:v>Sunday</c:v>
                </c:pt>
              </c:strCache>
            </c:strRef>
          </c:cat>
          <c:val>
            <c:numRef>
              <c:f>'Pivot table'!$B$13:$B$19</c:f>
              <c:numCache>
                <c:formatCode>General</c:formatCode>
                <c:ptCount val="7"/>
                <c:pt idx="0">
                  <c:v>40</c:v>
                </c:pt>
                <c:pt idx="1">
                  <c:v>24</c:v>
                </c:pt>
                <c:pt idx="2">
                  <c:v>23</c:v>
                </c:pt>
                <c:pt idx="3">
                  <c:v>23</c:v>
                </c:pt>
                <c:pt idx="4">
                  <c:v>13</c:v>
                </c:pt>
                <c:pt idx="5">
                  <c:v>30</c:v>
                </c:pt>
                <c:pt idx="6">
                  <c:v>36</c:v>
                </c:pt>
              </c:numCache>
            </c:numRef>
          </c:val>
          <c:extLst>
            <c:ext xmlns:c16="http://schemas.microsoft.com/office/drawing/2014/chart" uri="{C3380CC4-5D6E-409C-BE32-E72D297353CC}">
              <c16:uniqueId val="{00000000-B844-4E27-BA4F-AC0BADB7AF57}"/>
            </c:ext>
          </c:extLst>
        </c:ser>
        <c:dLbls>
          <c:showLegendKey val="0"/>
          <c:showVal val="0"/>
          <c:showCatName val="0"/>
          <c:showSerName val="0"/>
          <c:showPercent val="0"/>
          <c:showBubbleSize val="0"/>
        </c:dLbls>
        <c:gapWidth val="182"/>
        <c:axId val="490908816"/>
        <c:axId val="1751653808"/>
      </c:barChart>
      <c:catAx>
        <c:axId val="49090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653808"/>
        <c:crosses val="autoZero"/>
        <c:auto val="1"/>
        <c:lblAlgn val="ctr"/>
        <c:lblOffset val="100"/>
        <c:noMultiLvlLbl val="0"/>
      </c:catAx>
      <c:valAx>
        <c:axId val="1751653808"/>
        <c:scaling>
          <c:orientation val="minMax"/>
        </c:scaling>
        <c:delete val="1"/>
        <c:axPos val="b"/>
        <c:numFmt formatCode="General" sourceLinked="1"/>
        <c:majorTickMark val="out"/>
        <c:minorTickMark val="none"/>
        <c:tickLblPos val="nextTo"/>
        <c:crossAx val="49090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latin typeface="+mj-lt"/>
              </a:rPr>
              <a:t>Gender</a:t>
            </a:r>
          </a:p>
        </c:rich>
      </c:tx>
      <c:layout>
        <c:manualLayout>
          <c:xMode val="edge"/>
          <c:yMode val="edge"/>
          <c:x val="0.3495137795275591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3347639484978541"/>
          <c:y val="0.21178258967629052"/>
          <c:w val="0.75777986549964516"/>
          <c:h val="0.76506926217556137"/>
        </c:manualLayout>
      </c:layout>
      <c:bar3DChart>
        <c:barDir val="col"/>
        <c:grouping val="percentStacked"/>
        <c:varyColors val="0"/>
        <c:ser>
          <c:idx val="0"/>
          <c:order val="0"/>
          <c:tx>
            <c:strRef>
              <c:f>'Pivot table'!$C$30:$C$31</c:f>
              <c:strCache>
                <c:ptCount val="1"/>
                <c:pt idx="0">
                  <c:v>Male</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table'!$B$32:$B$34</c:f>
              <c:strCache>
                <c:ptCount val="3"/>
                <c:pt idx="0">
                  <c:v>Cincinnati</c:v>
                </c:pt>
                <c:pt idx="1">
                  <c:v>Cleveland</c:v>
                </c:pt>
                <c:pt idx="2">
                  <c:v>Columbus</c:v>
                </c:pt>
              </c:strCache>
            </c:strRef>
          </c:cat>
          <c:val>
            <c:numRef>
              <c:f>'Pivot table'!$C$32:$C$34</c:f>
              <c:numCache>
                <c:formatCode>General</c:formatCode>
                <c:ptCount val="3"/>
                <c:pt idx="0">
                  <c:v>26</c:v>
                </c:pt>
                <c:pt idx="1">
                  <c:v>13</c:v>
                </c:pt>
                <c:pt idx="2">
                  <c:v>34</c:v>
                </c:pt>
              </c:numCache>
            </c:numRef>
          </c:val>
          <c:extLst>
            <c:ext xmlns:c16="http://schemas.microsoft.com/office/drawing/2014/chart" uri="{C3380CC4-5D6E-409C-BE32-E72D297353CC}">
              <c16:uniqueId val="{00000000-C477-4915-B9A8-316966BACF0D}"/>
            </c:ext>
          </c:extLst>
        </c:ser>
        <c:ser>
          <c:idx val="1"/>
          <c:order val="1"/>
          <c:tx>
            <c:strRef>
              <c:f>'Pivot table'!$D$30:$D$31</c:f>
              <c:strCache>
                <c:ptCount val="1"/>
                <c:pt idx="0">
                  <c:v>Female</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table'!$B$32:$B$34</c:f>
              <c:strCache>
                <c:ptCount val="3"/>
                <c:pt idx="0">
                  <c:v>Cincinnati</c:v>
                </c:pt>
                <c:pt idx="1">
                  <c:v>Cleveland</c:v>
                </c:pt>
                <c:pt idx="2">
                  <c:v>Columbus</c:v>
                </c:pt>
              </c:strCache>
            </c:strRef>
          </c:cat>
          <c:val>
            <c:numRef>
              <c:f>'Pivot table'!$D$32:$D$34</c:f>
              <c:numCache>
                <c:formatCode>General</c:formatCode>
                <c:ptCount val="3"/>
                <c:pt idx="0">
                  <c:v>30</c:v>
                </c:pt>
                <c:pt idx="1">
                  <c:v>57</c:v>
                </c:pt>
                <c:pt idx="2">
                  <c:v>29</c:v>
                </c:pt>
              </c:numCache>
            </c:numRef>
          </c:val>
          <c:extLst>
            <c:ext xmlns:c16="http://schemas.microsoft.com/office/drawing/2014/chart" uri="{C3380CC4-5D6E-409C-BE32-E72D297353CC}">
              <c16:uniqueId val="{00000001-C477-4915-B9A8-316966BACF0D}"/>
            </c:ext>
          </c:extLst>
        </c:ser>
        <c:dLbls>
          <c:showLegendKey val="0"/>
          <c:showVal val="0"/>
          <c:showCatName val="0"/>
          <c:showSerName val="0"/>
          <c:showPercent val="0"/>
          <c:showBubbleSize val="0"/>
        </c:dLbls>
        <c:gapWidth val="88"/>
        <c:gapDepth val="101"/>
        <c:shape val="box"/>
        <c:axId val="615459056"/>
        <c:axId val="614329792"/>
        <c:axId val="0"/>
      </c:bar3DChart>
      <c:catAx>
        <c:axId val="615459056"/>
        <c:scaling>
          <c:orientation val="minMax"/>
        </c:scaling>
        <c:delete val="1"/>
        <c:axPos val="b"/>
        <c:numFmt formatCode="General" sourceLinked="1"/>
        <c:majorTickMark val="none"/>
        <c:minorTickMark val="none"/>
        <c:tickLblPos val="nextTo"/>
        <c:crossAx val="614329792"/>
        <c:crosses val="autoZero"/>
        <c:auto val="1"/>
        <c:lblAlgn val="ctr"/>
        <c:lblOffset val="100"/>
        <c:noMultiLvlLbl val="0"/>
      </c:catAx>
      <c:valAx>
        <c:axId val="614329792"/>
        <c:scaling>
          <c:orientation val="minMax"/>
        </c:scaling>
        <c:delete val="1"/>
        <c:axPos val="l"/>
        <c:numFmt formatCode="0%" sourceLinked="1"/>
        <c:majorTickMark val="none"/>
        <c:minorTickMark val="none"/>
        <c:tickLblPos val="nextTo"/>
        <c:crossAx val="615459056"/>
        <c:crosses val="autoZero"/>
        <c:crossBetween val="between"/>
      </c:valAx>
      <c:spPr>
        <a:noFill/>
        <a:ln>
          <a:noFill/>
        </a:ln>
        <a:effectLst/>
      </c:spPr>
    </c:plotArea>
    <c:legend>
      <c:legendPos val="r"/>
      <c:layout>
        <c:manualLayout>
          <c:xMode val="edge"/>
          <c:yMode val="edge"/>
          <c:x val="0.74606353185288243"/>
          <c:y val="0.4884138961796442"/>
          <c:w val="0.17562059776085037"/>
          <c:h val="0.27662146398366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B0F0"/>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table'!$L$38:$L$42</c:f>
              <c:strCache>
                <c:ptCount val="5"/>
                <c:pt idx="0">
                  <c:v>R01</c:v>
                </c:pt>
                <c:pt idx="1">
                  <c:v>R02</c:v>
                </c:pt>
                <c:pt idx="2">
                  <c:v>R03</c:v>
                </c:pt>
                <c:pt idx="3">
                  <c:v>R04</c:v>
                </c:pt>
                <c:pt idx="4">
                  <c:v>R05</c:v>
                </c:pt>
              </c:strCache>
            </c:strRef>
          </c:cat>
          <c:val>
            <c:numRef>
              <c:f>'Pivot table'!$M$38:$M$42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988-4E72-8711-55CC2B90C178}"/>
            </c:ext>
          </c:extLst>
        </c:ser>
        <c:ser>
          <c:idx val="1"/>
          <c:order val="1"/>
          <c:tx>
            <c:strRef>
              <c:f>'Pivot table'!$O$42</c:f>
              <c:strCache>
                <c:ptCount val="1"/>
                <c:pt idx="0">
                  <c:v>Null</c:v>
                </c:pt>
              </c:strCache>
            </c:strRef>
          </c:tx>
          <c:spPr>
            <a:gradFill flip="none" rotWithShape="1">
              <a:gsLst>
                <a:gs pos="58000">
                  <a:srgbClr val="92D050"/>
                </a:gs>
                <a:gs pos="2000">
                  <a:srgbClr val="00B050"/>
                </a:gs>
                <a:gs pos="91000">
                  <a:schemeClr val="accent1">
                    <a:lumMod val="30000"/>
                    <a:lumOff val="70000"/>
                  </a:schemeClr>
                </a:gs>
              </a:gsLst>
              <a:lin ang="2700000" scaled="1"/>
              <a:tileRect/>
            </a:gradFill>
            <a:ln>
              <a:noFill/>
            </a:ln>
            <a:effectLst/>
          </c:spPr>
          <c:invertIfNegative val="0"/>
          <c:dLbls>
            <c:delete val="1"/>
          </c:dLbls>
          <c:val>
            <c:numRef>
              <c:f>'Pivot table'!$O$38:$O$42</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4-1988-4E72-8711-55CC2B90C178}"/>
            </c:ext>
          </c:extLst>
        </c:ser>
        <c:dLbls>
          <c:dLblPos val="outEnd"/>
          <c:showLegendKey val="0"/>
          <c:showVal val="1"/>
          <c:showCatName val="0"/>
          <c:showSerName val="0"/>
          <c:showPercent val="0"/>
          <c:showBubbleSize val="0"/>
        </c:dLbls>
        <c:gapWidth val="50"/>
        <c:overlap val="100"/>
        <c:axId val="1939168912"/>
        <c:axId val="622896768"/>
      </c:barChart>
      <c:catAx>
        <c:axId val="1939168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96768"/>
        <c:crosses val="autoZero"/>
        <c:auto val="1"/>
        <c:lblAlgn val="ctr"/>
        <c:lblOffset val="100"/>
        <c:noMultiLvlLbl val="0"/>
      </c:catAx>
      <c:valAx>
        <c:axId val="622896768"/>
        <c:scaling>
          <c:orientation val="minMax"/>
          <c:min val="0"/>
        </c:scaling>
        <c:delete val="1"/>
        <c:axPos val="t"/>
        <c:numFmt formatCode="General" sourceLinked="1"/>
        <c:majorTickMark val="none"/>
        <c:minorTickMark val="none"/>
        <c:tickLblPos val="nextTo"/>
        <c:crossAx val="193916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F0"/>
                </a:solidFill>
                <a:latin typeface="+mj-lt"/>
              </a:rPr>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table'!$L$38:$L$42</c:f>
              <c:strCache>
                <c:ptCount val="5"/>
                <c:pt idx="0">
                  <c:v>R01</c:v>
                </c:pt>
                <c:pt idx="1">
                  <c:v>R02</c:v>
                </c:pt>
                <c:pt idx="2">
                  <c:v>R03</c:v>
                </c:pt>
                <c:pt idx="3">
                  <c:v>R04</c:v>
                </c:pt>
                <c:pt idx="4">
                  <c:v>R05</c:v>
                </c:pt>
              </c:strCache>
            </c:strRef>
          </c:cat>
          <c:val>
            <c:numRef>
              <c:f>'Pivot table'!$N$38:$N$42</c:f>
              <c:numCache>
                <c:formatCode>"Ksh"#,###.0,\ \K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7A1-4D9A-A303-F96327D92C93}"/>
            </c:ext>
          </c:extLst>
        </c:ser>
        <c:ser>
          <c:idx val="1"/>
          <c:order val="1"/>
          <c:tx>
            <c:strRef>
              <c:f>'Pivot table'!$P$42</c:f>
              <c:strCache>
                <c:ptCount val="1"/>
                <c:pt idx="0">
                  <c:v>Null</c:v>
                </c:pt>
              </c:strCache>
            </c:strRef>
          </c:tx>
          <c:spPr>
            <a:gradFill>
              <a:gsLst>
                <a:gs pos="90000">
                  <a:srgbClr val="92D050"/>
                </a:gs>
                <a:gs pos="5000">
                  <a:srgbClr val="FFFF00"/>
                </a:gs>
                <a:gs pos="100000">
                  <a:schemeClr val="accent1">
                    <a:lumMod val="30000"/>
                    <a:lumOff val="70000"/>
                  </a:schemeClr>
                </a:gs>
              </a:gsLst>
              <a:lin ang="2700000" scaled="1"/>
            </a:gradFill>
            <a:ln>
              <a:noFill/>
            </a:ln>
            <a:effectLst/>
          </c:spPr>
          <c:invertIfNegative val="0"/>
          <c:dLbls>
            <c:delete val="1"/>
          </c:dLbls>
          <c:val>
            <c:numRef>
              <c:f>'Pivot table'!$P$38:$P$42</c:f>
              <c:numCache>
                <c:formatCode>"Ksh"#,###.0,\'\K\'</c:formatCode>
                <c:ptCount val="5"/>
                <c:pt idx="0">
                  <c:v>18415</c:v>
                </c:pt>
                <c:pt idx="1">
                  <c:v>0</c:v>
                </c:pt>
                <c:pt idx="2">
                  <c:v>0</c:v>
                </c:pt>
                <c:pt idx="3">
                  <c:v>0</c:v>
                </c:pt>
                <c:pt idx="4">
                  <c:v>0</c:v>
                </c:pt>
              </c:numCache>
            </c:numRef>
          </c:val>
          <c:extLst>
            <c:ext xmlns:c16="http://schemas.microsoft.com/office/drawing/2014/chart" uri="{C3380CC4-5D6E-409C-BE32-E72D297353CC}">
              <c16:uniqueId val="{00000001-B7A1-4D9A-A303-F96327D92C93}"/>
            </c:ext>
          </c:extLst>
        </c:ser>
        <c:dLbls>
          <c:dLblPos val="outEnd"/>
          <c:showLegendKey val="0"/>
          <c:showVal val="1"/>
          <c:showCatName val="0"/>
          <c:showSerName val="0"/>
          <c:showPercent val="0"/>
          <c:showBubbleSize val="0"/>
        </c:dLbls>
        <c:gapWidth val="50"/>
        <c:overlap val="100"/>
        <c:axId val="1939168912"/>
        <c:axId val="622896768"/>
      </c:barChart>
      <c:catAx>
        <c:axId val="1939168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96768"/>
        <c:crosses val="autoZero"/>
        <c:auto val="1"/>
        <c:lblAlgn val="ctr"/>
        <c:lblOffset val="100"/>
        <c:noMultiLvlLbl val="0"/>
      </c:catAx>
      <c:valAx>
        <c:axId val="622896768"/>
        <c:scaling>
          <c:orientation val="minMax"/>
        </c:scaling>
        <c:delete val="1"/>
        <c:axPos val="t"/>
        <c:numFmt formatCode="&quot;Ksh&quot;#,###.0,\ \K" sourceLinked="1"/>
        <c:majorTickMark val="none"/>
        <c:minorTickMark val="none"/>
        <c:tickLblPos val="nextTo"/>
        <c:crossAx val="193916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table!Yearly Count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F0"/>
                </a:solidFill>
                <a:latin typeface="+mj-lt"/>
              </a:rPr>
              <a:t>Calls</a:t>
            </a:r>
            <a:r>
              <a:rPr lang="en-US" sz="1800" b="1" baseline="0">
                <a:solidFill>
                  <a:srgbClr val="00B0F0"/>
                </a:solidFill>
                <a:latin typeface="+mj-lt"/>
              </a:rPr>
              <a:t> Trend</a:t>
            </a:r>
            <a:endParaRPr lang="en-US" sz="1800" b="1">
              <a:solidFill>
                <a:srgbClr val="00B0F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rgbClr val="FF0000"/>
            </a:solidFill>
            <a:round/>
          </a:ln>
          <a:effectLst/>
        </c:spPr>
        <c:marker>
          <c:symbol val="circle"/>
          <c:size val="5"/>
          <c:spPr>
            <a:solidFill>
              <a:srgbClr val="92D050"/>
            </a:solidFill>
            <a:ln w="9525">
              <a:solidFill>
                <a:schemeClr val="accent2"/>
              </a:solidFill>
            </a:ln>
            <a:effectLst/>
          </c:spPr>
        </c:marker>
      </c:pivotFmt>
    </c:pivotFmts>
    <c:plotArea>
      <c:layout>
        <c:manualLayout>
          <c:layoutTarget val="inner"/>
          <c:xMode val="edge"/>
          <c:yMode val="edge"/>
          <c:x val="6.2056105527002046E-2"/>
          <c:y val="2.9537037037037039E-2"/>
          <c:w val="0.89514502591224077"/>
          <c:h val="0.68250801983085452"/>
        </c:manualLayout>
      </c:layout>
      <c:areaChart>
        <c:grouping val="standard"/>
        <c:varyColors val="0"/>
        <c:ser>
          <c:idx val="0"/>
          <c:order val="0"/>
          <c:tx>
            <c:strRef>
              <c:f>'Pivot table'!$C$37</c:f>
              <c:strCache>
                <c:ptCount val="1"/>
                <c:pt idx="0">
                  <c:v>Call Count</c:v>
                </c:pt>
              </c:strCache>
            </c:strRef>
          </c:tx>
          <c:spPr>
            <a:solidFill>
              <a:schemeClr val="accent1"/>
            </a:solidFill>
            <a:ln>
              <a:noFill/>
            </a:ln>
            <a:effectLst/>
          </c:spPr>
          <c:cat>
            <c:strRef>
              <c:f>'Pivot table'!$B$38:$B$49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table'!$C$38:$C$49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9A7C-4AF7-9137-B46EAA8038F6}"/>
            </c:ext>
          </c:extLst>
        </c:ser>
        <c:dLbls>
          <c:showLegendKey val="0"/>
          <c:showVal val="0"/>
          <c:showCatName val="0"/>
          <c:showSerName val="0"/>
          <c:showPercent val="0"/>
          <c:showBubbleSize val="0"/>
        </c:dLbls>
        <c:axId val="1491517728"/>
        <c:axId val="626216880"/>
      </c:areaChart>
      <c:lineChart>
        <c:grouping val="standard"/>
        <c:varyColors val="0"/>
        <c:ser>
          <c:idx val="1"/>
          <c:order val="1"/>
          <c:tx>
            <c:strRef>
              <c:f>'Pivot table'!$D$37</c:f>
              <c:strCache>
                <c:ptCount val="1"/>
                <c:pt idx="0">
                  <c:v>Count of Date of Call</c:v>
                </c:pt>
              </c:strCache>
            </c:strRef>
          </c:tx>
          <c:spPr>
            <a:ln w="28575" cap="rnd">
              <a:solidFill>
                <a:srgbClr val="FF0000"/>
              </a:solidFill>
              <a:round/>
            </a:ln>
            <a:effectLst/>
          </c:spPr>
          <c:marker>
            <c:symbol val="circle"/>
            <c:size val="5"/>
            <c:spPr>
              <a:solidFill>
                <a:srgbClr val="92D050"/>
              </a:solidFill>
              <a:ln w="9525">
                <a:solidFill>
                  <a:schemeClr val="accent2"/>
                </a:solidFill>
              </a:ln>
              <a:effectLst/>
            </c:spPr>
          </c:marker>
          <c:cat>
            <c:strRef>
              <c:f>'Pivot table'!$B$38:$B$49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table'!$D$38:$D$49</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9A7C-4AF7-9137-B46EAA8038F6}"/>
            </c:ext>
          </c:extLst>
        </c:ser>
        <c:dLbls>
          <c:showLegendKey val="0"/>
          <c:showVal val="0"/>
          <c:showCatName val="0"/>
          <c:showSerName val="0"/>
          <c:showPercent val="0"/>
          <c:showBubbleSize val="0"/>
        </c:dLbls>
        <c:marker val="1"/>
        <c:smooth val="0"/>
        <c:axId val="1491517728"/>
        <c:axId val="626216880"/>
      </c:lineChart>
      <c:catAx>
        <c:axId val="149151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16880"/>
        <c:crosses val="autoZero"/>
        <c:auto val="1"/>
        <c:lblAlgn val="ctr"/>
        <c:lblOffset val="100"/>
        <c:noMultiLvlLbl val="0"/>
      </c:catAx>
      <c:valAx>
        <c:axId val="626216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F0"/>
                </a:solidFill>
                <a:latin typeface="+mj-lt"/>
              </a:rPr>
              <a:t>Rating</a:t>
            </a:r>
          </a:p>
        </c:rich>
      </c:tx>
      <c:layout>
        <c:manualLayout>
          <c:xMode val="edge"/>
          <c:yMode val="edge"/>
          <c:x val="0.380520778652668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innerShdw blurRad="63500" dist="50800" dir="135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86080586080591E-2"/>
          <c:y val="0.20715296004666084"/>
          <c:w val="0.91941391941391937"/>
          <c:h val="0.70859580052493443"/>
        </c:manualLayout>
      </c:layout>
      <c:bar3DChart>
        <c:barDir val="col"/>
        <c:grouping val="clustered"/>
        <c:varyColors val="0"/>
        <c:ser>
          <c:idx val="0"/>
          <c:order val="0"/>
          <c:tx>
            <c:strRef>
              <c:f>'Pivot table'!$H$14</c:f>
              <c:strCache>
                <c:ptCount val="1"/>
                <c:pt idx="0">
                  <c:v>Total</c:v>
                </c:pt>
              </c:strCache>
            </c:strRef>
          </c:tx>
          <c:spPr>
            <a:solidFill>
              <a:schemeClr val="accent1"/>
            </a:solidFill>
            <a:ln>
              <a:noFill/>
            </a:ln>
            <a:effectLst>
              <a:innerShdw blurRad="63500" dist="50800" dir="13500000">
                <a:prstClr val="black">
                  <a:alpha val="50000"/>
                </a:prstClr>
              </a:inn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table'!$G$15:$G$19</c:f>
              <c:strCache>
                <c:ptCount val="5"/>
                <c:pt idx="0">
                  <c:v>1</c:v>
                </c:pt>
                <c:pt idx="1">
                  <c:v>2</c:v>
                </c:pt>
                <c:pt idx="2">
                  <c:v>3</c:v>
                </c:pt>
                <c:pt idx="3">
                  <c:v>4</c:v>
                </c:pt>
                <c:pt idx="4">
                  <c:v>5</c:v>
                </c:pt>
              </c:strCache>
            </c:strRef>
          </c:cat>
          <c:val>
            <c:numRef>
              <c:f>'Pivot table'!$H$15:$H$19</c:f>
              <c:numCache>
                <c:formatCode>General</c:formatCode>
                <c:ptCount val="5"/>
                <c:pt idx="0">
                  <c:v>1</c:v>
                </c:pt>
                <c:pt idx="1">
                  <c:v>9</c:v>
                </c:pt>
                <c:pt idx="2">
                  <c:v>31</c:v>
                </c:pt>
                <c:pt idx="3">
                  <c:v>88</c:v>
                </c:pt>
                <c:pt idx="4">
                  <c:v>60</c:v>
                </c:pt>
              </c:numCache>
            </c:numRef>
          </c:val>
          <c:shape val="cylinder"/>
          <c:extLst>
            <c:ext xmlns:c16="http://schemas.microsoft.com/office/drawing/2014/chart" uri="{C3380CC4-5D6E-409C-BE32-E72D297353CC}">
              <c16:uniqueId val="{00000000-6E1B-44D1-B6B5-932BDD4C0392}"/>
            </c:ext>
          </c:extLst>
        </c:ser>
        <c:dLbls>
          <c:showLegendKey val="0"/>
          <c:showVal val="0"/>
          <c:showCatName val="0"/>
          <c:showSerName val="0"/>
          <c:showPercent val="0"/>
          <c:showBubbleSize val="0"/>
        </c:dLbls>
        <c:gapWidth val="52"/>
        <c:gapDepth val="99"/>
        <c:shape val="box"/>
        <c:axId val="1791415119"/>
        <c:axId val="1554658367"/>
        <c:axId val="0"/>
      </c:bar3DChart>
      <c:catAx>
        <c:axId val="1791415119"/>
        <c:scaling>
          <c:orientation val="minMax"/>
        </c:scaling>
        <c:delete val="0"/>
        <c:axPos val="b"/>
        <c:numFmt formatCode="General" sourceLinked="1"/>
        <c:majorTickMark val="out"/>
        <c:minorTickMark val="none"/>
        <c:tickLblPos val="nextTo"/>
        <c:spPr>
          <a:gradFill>
            <a:gsLst>
              <a:gs pos="0">
                <a:srgbClr val="FFFF00"/>
              </a:gs>
              <a:gs pos="62000">
                <a:srgbClr val="92D050"/>
              </a:gs>
            </a:gsLst>
            <a:path path="circle">
              <a:fillToRect l="50000" t="50000" r="50000" b="50000"/>
            </a:path>
          </a:gradFill>
          <a:ln cmpd="dbl">
            <a:noFill/>
          </a:ln>
          <a:effectLst>
            <a:outerShdw blurRad="50800" dist="50800" dir="5400000" algn="ctr" rotWithShape="0">
              <a:schemeClr val="bg2"/>
            </a:outerShd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4658367"/>
        <c:crosses val="autoZero"/>
        <c:auto val="1"/>
        <c:lblAlgn val="ctr"/>
        <c:lblOffset val="100"/>
        <c:noMultiLvlLbl val="0"/>
      </c:catAx>
      <c:valAx>
        <c:axId val="1554658367"/>
        <c:scaling>
          <c:orientation val="minMax"/>
        </c:scaling>
        <c:delete val="1"/>
        <c:axPos val="l"/>
        <c:numFmt formatCode="General" sourceLinked="1"/>
        <c:majorTickMark val="out"/>
        <c:minorTickMark val="none"/>
        <c:tickLblPos val="nextTo"/>
        <c:crossAx val="1791415119"/>
        <c:crosses val="autoZero"/>
        <c:crossBetween val="between"/>
      </c:valAx>
      <c:spPr>
        <a:noFill/>
        <a:ln>
          <a:noFill/>
        </a:ln>
        <a:effectLst>
          <a:outerShdw blurRad="50800" dist="215900" dir="5400000" sx="21000" sy="2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table!weekday count</c:name>
    <c:fmtId val="2"/>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0">
                <a:solidFill>
                  <a:srgbClr val="00B0F0"/>
                </a:solidFill>
                <a:latin typeface="+mj-lt"/>
              </a:rPr>
              <a:t>Calls per Day</a:t>
            </a:r>
          </a:p>
        </c:rich>
      </c:tx>
      <c:layout>
        <c:manualLayout>
          <c:xMode val="edge"/>
          <c:yMode val="edge"/>
          <c:x val="0.25864722381805277"/>
          <c:y val="2.795578437310720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96309697580231"/>
          <c:y val="0.3084173717415758"/>
          <c:w val="0.70425230644452708"/>
          <c:h val="0.67562654668166477"/>
        </c:manualLayout>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table'!$A$13:$A$19</c:f>
              <c:strCache>
                <c:ptCount val="7"/>
                <c:pt idx="0">
                  <c:v>Saturday</c:v>
                </c:pt>
                <c:pt idx="1">
                  <c:v>Friday</c:v>
                </c:pt>
                <c:pt idx="2">
                  <c:v>Thursday</c:v>
                </c:pt>
                <c:pt idx="3">
                  <c:v>Wednesday</c:v>
                </c:pt>
                <c:pt idx="4">
                  <c:v>Tuesday</c:v>
                </c:pt>
                <c:pt idx="5">
                  <c:v>Monday</c:v>
                </c:pt>
                <c:pt idx="6">
                  <c:v>Sunday</c:v>
                </c:pt>
              </c:strCache>
            </c:strRef>
          </c:cat>
          <c:val>
            <c:numRef>
              <c:f>'Pivot table'!$B$13:$B$19</c:f>
              <c:numCache>
                <c:formatCode>General</c:formatCode>
                <c:ptCount val="7"/>
                <c:pt idx="0">
                  <c:v>40</c:v>
                </c:pt>
                <c:pt idx="1">
                  <c:v>24</c:v>
                </c:pt>
                <c:pt idx="2">
                  <c:v>23</c:v>
                </c:pt>
                <c:pt idx="3">
                  <c:v>23</c:v>
                </c:pt>
                <c:pt idx="4">
                  <c:v>13</c:v>
                </c:pt>
                <c:pt idx="5">
                  <c:v>30</c:v>
                </c:pt>
                <c:pt idx="6">
                  <c:v>36</c:v>
                </c:pt>
              </c:numCache>
            </c:numRef>
          </c:val>
          <c:extLst>
            <c:ext xmlns:c16="http://schemas.microsoft.com/office/drawing/2014/chart" uri="{C3380CC4-5D6E-409C-BE32-E72D297353CC}">
              <c16:uniqueId val="{00000000-F0D7-45BC-BD87-D5F10A975F7B}"/>
            </c:ext>
          </c:extLst>
        </c:ser>
        <c:dLbls>
          <c:showLegendKey val="0"/>
          <c:showVal val="0"/>
          <c:showCatName val="0"/>
          <c:showSerName val="0"/>
          <c:showPercent val="0"/>
          <c:showBubbleSize val="0"/>
        </c:dLbls>
        <c:gapWidth val="50"/>
        <c:axId val="490908816"/>
        <c:axId val="1751653808"/>
      </c:barChart>
      <c:catAx>
        <c:axId val="49090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mn-cs"/>
              </a:defRPr>
            </a:pPr>
            <a:endParaRPr lang="en-US"/>
          </a:p>
        </c:txPr>
        <c:crossAx val="1751653808"/>
        <c:crosses val="autoZero"/>
        <c:auto val="1"/>
        <c:lblAlgn val="l"/>
        <c:lblOffset val="100"/>
        <c:noMultiLvlLbl val="0"/>
      </c:catAx>
      <c:valAx>
        <c:axId val="1751653808"/>
        <c:scaling>
          <c:orientation val="minMax"/>
        </c:scaling>
        <c:delete val="1"/>
        <c:axPos val="b"/>
        <c:numFmt formatCode="General" sourceLinked="1"/>
        <c:majorTickMark val="out"/>
        <c:minorTickMark val="none"/>
        <c:tickLblPos val="nextTo"/>
        <c:crossAx val="49090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sx="13000" sy="13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table!Gender</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rgbClr val="00B0F0"/>
                </a:solidFill>
                <a:latin typeface="+mj-lt"/>
              </a:rPr>
              <a:t>Female VS Male Callers</a:t>
            </a:r>
          </a:p>
        </c:rich>
      </c:tx>
      <c:layout>
        <c:manualLayout>
          <c:xMode val="edge"/>
          <c:yMode val="edge"/>
          <c:x val="0.16559100329351201"/>
          <c:y val="5.03706036745406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percentStacked"/>
        <c:varyColors val="0"/>
        <c:ser>
          <c:idx val="0"/>
          <c:order val="0"/>
          <c:tx>
            <c:strRef>
              <c:f>'Pivot table'!$C$30:$C$31</c:f>
              <c:strCache>
                <c:ptCount val="1"/>
                <c:pt idx="0">
                  <c:v>Male</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table'!$B$32:$B$34</c:f>
              <c:strCache>
                <c:ptCount val="3"/>
                <c:pt idx="0">
                  <c:v>Cincinnati</c:v>
                </c:pt>
                <c:pt idx="1">
                  <c:v>Cleveland</c:v>
                </c:pt>
                <c:pt idx="2">
                  <c:v>Columbus</c:v>
                </c:pt>
              </c:strCache>
            </c:strRef>
          </c:cat>
          <c:val>
            <c:numRef>
              <c:f>'Pivot table'!$C$32:$C$34</c:f>
              <c:numCache>
                <c:formatCode>General</c:formatCode>
                <c:ptCount val="3"/>
                <c:pt idx="0">
                  <c:v>26</c:v>
                </c:pt>
                <c:pt idx="1">
                  <c:v>13</c:v>
                </c:pt>
                <c:pt idx="2">
                  <c:v>34</c:v>
                </c:pt>
              </c:numCache>
            </c:numRef>
          </c:val>
          <c:extLst>
            <c:ext xmlns:c16="http://schemas.microsoft.com/office/drawing/2014/chart" uri="{C3380CC4-5D6E-409C-BE32-E72D297353CC}">
              <c16:uniqueId val="{00000000-E3AC-455B-903E-B9229658AE54}"/>
            </c:ext>
          </c:extLst>
        </c:ser>
        <c:ser>
          <c:idx val="1"/>
          <c:order val="1"/>
          <c:tx>
            <c:strRef>
              <c:f>'Pivot table'!$D$30:$D$31</c:f>
              <c:strCache>
                <c:ptCount val="1"/>
                <c:pt idx="0">
                  <c:v>Female</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table'!$B$32:$B$34</c:f>
              <c:strCache>
                <c:ptCount val="3"/>
                <c:pt idx="0">
                  <c:v>Cincinnati</c:v>
                </c:pt>
                <c:pt idx="1">
                  <c:v>Cleveland</c:v>
                </c:pt>
                <c:pt idx="2">
                  <c:v>Columbus</c:v>
                </c:pt>
              </c:strCache>
            </c:strRef>
          </c:cat>
          <c:val>
            <c:numRef>
              <c:f>'Pivot table'!$D$32:$D$34</c:f>
              <c:numCache>
                <c:formatCode>General</c:formatCode>
                <c:ptCount val="3"/>
                <c:pt idx="0">
                  <c:v>30</c:v>
                </c:pt>
                <c:pt idx="1">
                  <c:v>57</c:v>
                </c:pt>
                <c:pt idx="2">
                  <c:v>29</c:v>
                </c:pt>
              </c:numCache>
            </c:numRef>
          </c:val>
          <c:extLst>
            <c:ext xmlns:c16="http://schemas.microsoft.com/office/drawing/2014/chart" uri="{C3380CC4-5D6E-409C-BE32-E72D297353CC}">
              <c16:uniqueId val="{00000001-E3AC-455B-903E-B9229658AE54}"/>
            </c:ext>
          </c:extLst>
        </c:ser>
        <c:dLbls>
          <c:showLegendKey val="0"/>
          <c:showVal val="0"/>
          <c:showCatName val="0"/>
          <c:showSerName val="0"/>
          <c:showPercent val="0"/>
          <c:showBubbleSize val="0"/>
        </c:dLbls>
        <c:gapWidth val="88"/>
        <c:gapDepth val="101"/>
        <c:shape val="box"/>
        <c:axId val="615459056"/>
        <c:axId val="614329792"/>
        <c:axId val="0"/>
      </c:bar3DChart>
      <c:catAx>
        <c:axId val="615459056"/>
        <c:scaling>
          <c:orientation val="minMax"/>
        </c:scaling>
        <c:delete val="0"/>
        <c:axPos val="b"/>
        <c:numFmt formatCode="General" sourceLinked="1"/>
        <c:majorTickMark val="out"/>
        <c:minorTickMark val="none"/>
        <c:tickLblPos val="nextTo"/>
        <c:spPr>
          <a:noFill/>
          <a:ln>
            <a:solidFill>
              <a:schemeClr val="tx1"/>
            </a:solidFill>
          </a:ln>
          <a:effectLst/>
        </c:spPr>
        <c:txPr>
          <a:bodyPr rot="0" spcFirstLastPara="1" vertOverflow="ellipsis" wrap="square" anchor="b" anchorCtr="0"/>
          <a:lstStyle/>
          <a:p>
            <a:pPr>
              <a:defRPr sz="900" b="0" i="0" u="none" strike="noStrike" kern="1200" baseline="0">
                <a:ln w="3175">
                  <a:solidFill>
                    <a:srgbClr val="00B0F0">
                      <a:alpha val="92000"/>
                    </a:srgbClr>
                  </a:solidFill>
                </a:ln>
                <a:solidFill>
                  <a:srgbClr val="00B0F0">
                    <a:alpha val="87000"/>
                  </a:srgbClr>
                </a:solidFill>
                <a:latin typeface="+mn-lt"/>
                <a:ea typeface="+mn-ea"/>
                <a:cs typeface="+mn-cs"/>
              </a:defRPr>
            </a:pPr>
            <a:endParaRPr lang="en-US"/>
          </a:p>
        </c:txPr>
        <c:crossAx val="614329792"/>
        <c:crosses val="autoZero"/>
        <c:auto val="0"/>
        <c:lblAlgn val="ctr"/>
        <c:lblOffset val="100"/>
        <c:tickLblSkip val="1"/>
        <c:noMultiLvlLbl val="0"/>
      </c:catAx>
      <c:valAx>
        <c:axId val="614329792"/>
        <c:scaling>
          <c:orientation val="minMax"/>
        </c:scaling>
        <c:delete val="1"/>
        <c:axPos val="l"/>
        <c:numFmt formatCode="0%" sourceLinked="1"/>
        <c:majorTickMark val="none"/>
        <c:minorTickMark val="none"/>
        <c:tickLblPos val="nextTo"/>
        <c:crossAx val="615459056"/>
        <c:crosses val="autoZero"/>
        <c:crossBetween val="between"/>
      </c:valAx>
      <c:spPr>
        <a:noFill/>
        <a:ln>
          <a:noFill/>
        </a:ln>
        <a:effectLst/>
      </c:spPr>
    </c:plotArea>
    <c:legend>
      <c:legendPos val="r"/>
      <c:layout>
        <c:manualLayout>
          <c:xMode val="edge"/>
          <c:yMode val="edge"/>
          <c:x val="0.70675141974169353"/>
          <c:y val="0.4884138961796442"/>
          <c:w val="0.21493246722995887"/>
          <c:h val="0.27662146398366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B0F0"/>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table'!$L$38:$L$42</c:f>
              <c:strCache>
                <c:ptCount val="5"/>
                <c:pt idx="0">
                  <c:v>R01</c:v>
                </c:pt>
                <c:pt idx="1">
                  <c:v>R02</c:v>
                </c:pt>
                <c:pt idx="2">
                  <c:v>R03</c:v>
                </c:pt>
                <c:pt idx="3">
                  <c:v>R04</c:v>
                </c:pt>
                <c:pt idx="4">
                  <c:v>R05</c:v>
                </c:pt>
              </c:strCache>
            </c:strRef>
          </c:cat>
          <c:val>
            <c:numRef>
              <c:f>'Pivot table'!$M$38:$M$42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165-482F-9BF5-54AC1D216FE8}"/>
            </c:ext>
          </c:extLst>
        </c:ser>
        <c:ser>
          <c:idx val="1"/>
          <c:order val="1"/>
          <c:tx>
            <c:strRef>
              <c:f>'Pivot table'!$O$42</c:f>
              <c:strCache>
                <c:ptCount val="1"/>
                <c:pt idx="0">
                  <c:v>Null</c:v>
                </c:pt>
              </c:strCache>
            </c:strRef>
          </c:tx>
          <c:spPr>
            <a:gradFill flip="none" rotWithShape="1">
              <a:gsLst>
                <a:gs pos="58000">
                  <a:srgbClr val="92D050"/>
                </a:gs>
                <a:gs pos="2000">
                  <a:srgbClr val="00B050"/>
                </a:gs>
                <a:gs pos="91000">
                  <a:schemeClr val="accent1">
                    <a:lumMod val="30000"/>
                    <a:lumOff val="70000"/>
                  </a:schemeClr>
                </a:gs>
              </a:gsLst>
              <a:lin ang="2700000" scaled="1"/>
              <a:tileRect/>
            </a:gradFill>
            <a:ln>
              <a:noFill/>
            </a:ln>
            <a:effectLst/>
          </c:spPr>
          <c:invertIfNegative val="0"/>
          <c:dLbls>
            <c:delete val="1"/>
          </c:dLbls>
          <c:val>
            <c:numRef>
              <c:f>'Pivot table'!$O$38:$O$42</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1-0165-482F-9BF5-54AC1D216FE8}"/>
            </c:ext>
          </c:extLst>
        </c:ser>
        <c:dLbls>
          <c:dLblPos val="outEnd"/>
          <c:showLegendKey val="0"/>
          <c:showVal val="1"/>
          <c:showCatName val="0"/>
          <c:showSerName val="0"/>
          <c:showPercent val="0"/>
          <c:showBubbleSize val="0"/>
        </c:dLbls>
        <c:gapWidth val="50"/>
        <c:overlap val="100"/>
        <c:axId val="1939168912"/>
        <c:axId val="622896768"/>
      </c:barChart>
      <c:catAx>
        <c:axId val="19391689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2896768"/>
        <c:crosses val="autoZero"/>
        <c:auto val="1"/>
        <c:lblAlgn val="ctr"/>
        <c:lblOffset val="100"/>
        <c:noMultiLvlLbl val="0"/>
      </c:catAx>
      <c:valAx>
        <c:axId val="622896768"/>
        <c:scaling>
          <c:orientation val="minMax"/>
          <c:min val="0"/>
        </c:scaling>
        <c:delete val="1"/>
        <c:axPos val="t"/>
        <c:numFmt formatCode="General" sourceLinked="1"/>
        <c:majorTickMark val="none"/>
        <c:minorTickMark val="none"/>
        <c:tickLblPos val="nextTo"/>
        <c:crossAx val="193916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F0"/>
                </a:solidFill>
                <a:latin typeface="+mj-lt"/>
              </a:rPr>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table'!$L$38:$L$42</c:f>
              <c:strCache>
                <c:ptCount val="5"/>
                <c:pt idx="0">
                  <c:v>R01</c:v>
                </c:pt>
                <c:pt idx="1">
                  <c:v>R02</c:v>
                </c:pt>
                <c:pt idx="2">
                  <c:v>R03</c:v>
                </c:pt>
                <c:pt idx="3">
                  <c:v>R04</c:v>
                </c:pt>
                <c:pt idx="4">
                  <c:v>R05</c:v>
                </c:pt>
              </c:strCache>
            </c:strRef>
          </c:cat>
          <c:val>
            <c:numRef>
              <c:f>'Pivot table'!$N$38:$N$42</c:f>
              <c:numCache>
                <c:formatCode>"Ksh"#,###.0,\ \K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AF9-4070-9A3A-AB5364E56DF7}"/>
            </c:ext>
          </c:extLst>
        </c:ser>
        <c:ser>
          <c:idx val="1"/>
          <c:order val="1"/>
          <c:tx>
            <c:strRef>
              <c:f>'Pivot table'!$P$42</c:f>
              <c:strCache>
                <c:ptCount val="1"/>
                <c:pt idx="0">
                  <c:v>Null</c:v>
                </c:pt>
              </c:strCache>
            </c:strRef>
          </c:tx>
          <c:spPr>
            <a:gradFill>
              <a:gsLst>
                <a:gs pos="90000">
                  <a:srgbClr val="92D050"/>
                </a:gs>
                <a:gs pos="5000">
                  <a:srgbClr val="FFFF00"/>
                </a:gs>
                <a:gs pos="100000">
                  <a:schemeClr val="accent1">
                    <a:lumMod val="30000"/>
                    <a:lumOff val="70000"/>
                  </a:schemeClr>
                </a:gs>
              </a:gsLst>
              <a:lin ang="2700000" scaled="1"/>
            </a:gradFill>
            <a:ln>
              <a:noFill/>
            </a:ln>
            <a:effectLst/>
          </c:spPr>
          <c:invertIfNegative val="0"/>
          <c:dLbls>
            <c:delete val="1"/>
          </c:dLbls>
          <c:val>
            <c:numRef>
              <c:f>'Pivot table'!$P$38:$P$42</c:f>
              <c:numCache>
                <c:formatCode>"Ksh"#,###.0,\'\K\'</c:formatCode>
                <c:ptCount val="5"/>
                <c:pt idx="0">
                  <c:v>18415</c:v>
                </c:pt>
                <c:pt idx="1">
                  <c:v>0</c:v>
                </c:pt>
                <c:pt idx="2">
                  <c:v>0</c:v>
                </c:pt>
                <c:pt idx="3">
                  <c:v>0</c:v>
                </c:pt>
                <c:pt idx="4">
                  <c:v>0</c:v>
                </c:pt>
              </c:numCache>
            </c:numRef>
          </c:val>
          <c:extLst>
            <c:ext xmlns:c16="http://schemas.microsoft.com/office/drawing/2014/chart" uri="{C3380CC4-5D6E-409C-BE32-E72D297353CC}">
              <c16:uniqueId val="{00000001-FAF9-4070-9A3A-AB5364E56DF7}"/>
            </c:ext>
          </c:extLst>
        </c:ser>
        <c:dLbls>
          <c:dLblPos val="outEnd"/>
          <c:showLegendKey val="0"/>
          <c:showVal val="1"/>
          <c:showCatName val="0"/>
          <c:showSerName val="0"/>
          <c:showPercent val="0"/>
          <c:showBubbleSize val="0"/>
        </c:dLbls>
        <c:gapWidth val="50"/>
        <c:overlap val="100"/>
        <c:axId val="1939168912"/>
        <c:axId val="622896768"/>
      </c:barChart>
      <c:catAx>
        <c:axId val="1939168912"/>
        <c:scaling>
          <c:orientation val="maxMin"/>
        </c:scaling>
        <c:delete val="1"/>
        <c:axPos val="l"/>
        <c:numFmt formatCode="General" sourceLinked="1"/>
        <c:majorTickMark val="none"/>
        <c:minorTickMark val="none"/>
        <c:tickLblPos val="nextTo"/>
        <c:crossAx val="622896768"/>
        <c:crosses val="autoZero"/>
        <c:auto val="1"/>
        <c:lblAlgn val="ctr"/>
        <c:lblOffset val="100"/>
        <c:noMultiLvlLbl val="0"/>
      </c:catAx>
      <c:valAx>
        <c:axId val="622896768"/>
        <c:scaling>
          <c:orientation val="minMax"/>
        </c:scaling>
        <c:delete val="1"/>
        <c:axPos val="t"/>
        <c:numFmt formatCode="&quot;Ksh&quot;#,###.0,\ \K" sourceLinked="1"/>
        <c:majorTickMark val="none"/>
        <c:minorTickMark val="none"/>
        <c:tickLblPos val="nextTo"/>
        <c:crossAx val="193916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table!Yearly Count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F0"/>
                </a:solidFill>
                <a:latin typeface="+mj-lt"/>
              </a:rPr>
              <a:t>Calls</a:t>
            </a:r>
            <a:r>
              <a:rPr lang="en-US" sz="1800" b="1" baseline="0">
                <a:solidFill>
                  <a:srgbClr val="00B0F0"/>
                </a:solidFill>
                <a:latin typeface="+mj-lt"/>
              </a:rPr>
              <a:t> Trend</a:t>
            </a:r>
            <a:endParaRPr lang="en-US" sz="1800" b="1">
              <a:solidFill>
                <a:srgbClr val="00B0F0"/>
              </a:solidFill>
              <a:latin typeface="+mj-lt"/>
            </a:endParaRPr>
          </a:p>
        </c:rich>
      </c:tx>
      <c:layout>
        <c:manualLayout>
          <c:xMode val="edge"/>
          <c:yMode val="edge"/>
          <c:x val="0.23018554670767624"/>
          <c:y val="4.7088155783933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rgbClr val="FF0000"/>
            </a:solidFill>
            <a:round/>
          </a:ln>
          <a:effectLst/>
        </c:spPr>
        <c:marker>
          <c:symbol val="circle"/>
          <c:size val="5"/>
          <c:spPr>
            <a:solidFill>
              <a:srgbClr val="92D050"/>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rgbClr val="FF0000"/>
            </a:solidFill>
            <a:round/>
          </a:ln>
          <a:effectLst/>
        </c:spPr>
        <c:marker>
          <c:symbol val="circle"/>
          <c:size val="5"/>
          <c:spPr>
            <a:solidFill>
              <a:srgbClr val="92D050"/>
            </a:solidFill>
            <a:ln w="9525">
              <a:solidFill>
                <a:schemeClr val="accent2"/>
              </a:solidFill>
            </a:ln>
            <a:effectLst/>
          </c:spPr>
        </c:marker>
      </c:pivotFmt>
      <c:pivotFmt>
        <c:idx val="4"/>
        <c:spPr>
          <a:solidFill>
            <a:schemeClr val="accent1"/>
          </a:solidFill>
          <a:ln>
            <a:noFill/>
          </a:ln>
          <a:effectLst/>
        </c:spPr>
        <c:marker>
          <c:symbol val="none"/>
        </c:marker>
      </c:pivotFmt>
      <c:pivotFmt>
        <c:idx val="5"/>
        <c:spPr>
          <a:ln w="28575" cap="rnd">
            <a:solidFill>
              <a:srgbClr val="FF0000"/>
            </a:solidFill>
            <a:round/>
          </a:ln>
          <a:effectLst/>
        </c:spPr>
        <c:marker>
          <c:symbol val="circle"/>
          <c:size val="5"/>
          <c:spPr>
            <a:solidFill>
              <a:srgbClr val="92D050"/>
            </a:solidFill>
            <a:ln w="9525">
              <a:solidFill>
                <a:schemeClr val="accent2"/>
              </a:solidFill>
            </a:ln>
            <a:effectLst/>
          </c:spPr>
        </c:marker>
      </c:pivotFmt>
    </c:pivotFmts>
    <c:plotArea>
      <c:layout>
        <c:manualLayout>
          <c:layoutTarget val="inner"/>
          <c:xMode val="edge"/>
          <c:yMode val="edge"/>
          <c:x val="0.12768760376769187"/>
          <c:y val="0.19825613079019075"/>
          <c:w val="0.85399109036213894"/>
          <c:h val="0.62627647020961619"/>
        </c:manualLayout>
      </c:layout>
      <c:areaChart>
        <c:grouping val="standard"/>
        <c:varyColors val="0"/>
        <c:ser>
          <c:idx val="0"/>
          <c:order val="0"/>
          <c:tx>
            <c:strRef>
              <c:f>'Pivot table'!$C$37</c:f>
              <c:strCache>
                <c:ptCount val="1"/>
                <c:pt idx="0">
                  <c:v>Call Count</c:v>
                </c:pt>
              </c:strCache>
            </c:strRef>
          </c:tx>
          <c:spPr>
            <a:solidFill>
              <a:schemeClr val="accent1"/>
            </a:solidFill>
            <a:ln>
              <a:noFill/>
            </a:ln>
            <a:effectLst/>
          </c:spPr>
          <c:cat>
            <c:strRef>
              <c:f>'Pivot table'!$B$38:$B$49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table'!$C$38:$C$49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1F04-4B7D-8E32-D18968802DB4}"/>
            </c:ext>
          </c:extLst>
        </c:ser>
        <c:dLbls>
          <c:showLegendKey val="0"/>
          <c:showVal val="0"/>
          <c:showCatName val="0"/>
          <c:showSerName val="0"/>
          <c:showPercent val="0"/>
          <c:showBubbleSize val="0"/>
        </c:dLbls>
        <c:axId val="1491517728"/>
        <c:axId val="626216880"/>
      </c:areaChart>
      <c:lineChart>
        <c:grouping val="standard"/>
        <c:varyColors val="0"/>
        <c:ser>
          <c:idx val="1"/>
          <c:order val="1"/>
          <c:tx>
            <c:strRef>
              <c:f>'Pivot table'!$D$37</c:f>
              <c:strCache>
                <c:ptCount val="1"/>
                <c:pt idx="0">
                  <c:v>Count of Date of Call</c:v>
                </c:pt>
              </c:strCache>
            </c:strRef>
          </c:tx>
          <c:spPr>
            <a:ln w="28575" cap="rnd">
              <a:solidFill>
                <a:srgbClr val="FF0000"/>
              </a:solidFill>
              <a:round/>
            </a:ln>
            <a:effectLst/>
          </c:spPr>
          <c:marker>
            <c:symbol val="circle"/>
            <c:size val="5"/>
            <c:spPr>
              <a:solidFill>
                <a:srgbClr val="92D050"/>
              </a:solidFill>
              <a:ln w="9525">
                <a:solidFill>
                  <a:schemeClr val="accent2"/>
                </a:solidFill>
              </a:ln>
              <a:effectLst/>
            </c:spPr>
          </c:marker>
          <c:cat>
            <c:strRef>
              <c:f>'Pivot table'!$B$38:$B$49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table'!$D$38:$D$49</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1F04-4B7D-8E32-D18968802DB4}"/>
            </c:ext>
          </c:extLst>
        </c:ser>
        <c:dLbls>
          <c:showLegendKey val="0"/>
          <c:showVal val="0"/>
          <c:showCatName val="0"/>
          <c:showSerName val="0"/>
          <c:showPercent val="0"/>
          <c:showBubbleSize val="0"/>
        </c:dLbls>
        <c:marker val="1"/>
        <c:smooth val="0"/>
        <c:axId val="1491517728"/>
        <c:axId val="626216880"/>
      </c:lineChart>
      <c:catAx>
        <c:axId val="149151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16880"/>
        <c:crosses val="autoZero"/>
        <c:auto val="1"/>
        <c:lblAlgn val="ctr"/>
        <c:lblOffset val="100"/>
        <c:noMultiLvlLbl val="0"/>
      </c:catAx>
      <c:valAx>
        <c:axId val="626216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7728"/>
        <c:crosses val="autoZero"/>
        <c:crossBetween val="between"/>
      </c:valAx>
      <c:spPr>
        <a:noFill/>
        <a:ln w="0">
          <a:solidFill>
            <a:schemeClr val="tx1">
              <a:lumMod val="15000"/>
              <a:lumOff val="85000"/>
              <a:alpha val="98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F0"/>
                </a:solidFill>
                <a:latin typeface="+mj-lt"/>
              </a:rPr>
              <a:t>Rating</a:t>
            </a:r>
          </a:p>
        </c:rich>
      </c:tx>
      <c:layout>
        <c:manualLayout>
          <c:xMode val="edge"/>
          <c:yMode val="edge"/>
          <c:x val="0.380520778652668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innerShdw blurRad="63500" dist="50800" dir="13500000">
              <a:prstClr val="black">
                <a:alpha val="50000"/>
              </a:prstClr>
            </a:innerShdw>
          </a:effectLst>
          <a:sp3d/>
        </c:spPr>
        <c:marker>
          <c:symbol val="none"/>
        </c:marker>
        <c:dLbl>
          <c:idx val="0"/>
          <c:spPr>
            <a:noFill/>
            <a:ln>
              <a:noFill/>
            </a:ln>
            <a:effectLst/>
          </c:spPr>
          <c:txPr>
            <a:bodyPr rot="0" spcFirstLastPara="1" vertOverflow="ellipsis"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63500" dist="50800" dir="135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blurRad="63500" dist="50800" dir="135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293106329837729E-2"/>
          <c:y val="0.19499858267660028"/>
          <c:w val="0.91941391941391937"/>
          <c:h val="0.70859580052493443"/>
        </c:manualLayout>
      </c:layout>
      <c:bar3DChart>
        <c:barDir val="col"/>
        <c:grouping val="clustered"/>
        <c:varyColors val="0"/>
        <c:ser>
          <c:idx val="0"/>
          <c:order val="0"/>
          <c:tx>
            <c:strRef>
              <c:f>'Pivot table'!$H$14</c:f>
              <c:strCache>
                <c:ptCount val="1"/>
                <c:pt idx="0">
                  <c:v>Total</c:v>
                </c:pt>
              </c:strCache>
            </c:strRef>
          </c:tx>
          <c:spPr>
            <a:solidFill>
              <a:schemeClr val="accent1"/>
            </a:solidFill>
            <a:ln>
              <a:noFill/>
            </a:ln>
            <a:effectLst>
              <a:innerShdw blurRad="63500" dist="50800" dir="13500000">
                <a:prstClr val="black">
                  <a:alpha val="50000"/>
                </a:prstClr>
              </a:inn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tx1">
                          <a:alpha val="97000"/>
                        </a:schemeClr>
                      </a:solidFill>
                    </a:ln>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table'!$G$15:$G$19</c:f>
              <c:strCache>
                <c:ptCount val="5"/>
                <c:pt idx="0">
                  <c:v>1</c:v>
                </c:pt>
                <c:pt idx="1">
                  <c:v>2</c:v>
                </c:pt>
                <c:pt idx="2">
                  <c:v>3</c:v>
                </c:pt>
                <c:pt idx="3">
                  <c:v>4</c:v>
                </c:pt>
                <c:pt idx="4">
                  <c:v>5</c:v>
                </c:pt>
              </c:strCache>
            </c:strRef>
          </c:cat>
          <c:val>
            <c:numRef>
              <c:f>'Pivot table'!$H$15:$H$19</c:f>
              <c:numCache>
                <c:formatCode>General</c:formatCode>
                <c:ptCount val="5"/>
                <c:pt idx="0">
                  <c:v>1</c:v>
                </c:pt>
                <c:pt idx="1">
                  <c:v>9</c:v>
                </c:pt>
                <c:pt idx="2">
                  <c:v>31</c:v>
                </c:pt>
                <c:pt idx="3">
                  <c:v>88</c:v>
                </c:pt>
                <c:pt idx="4">
                  <c:v>60</c:v>
                </c:pt>
              </c:numCache>
            </c:numRef>
          </c:val>
          <c:shape val="cylinder"/>
          <c:extLst>
            <c:ext xmlns:c16="http://schemas.microsoft.com/office/drawing/2014/chart" uri="{C3380CC4-5D6E-409C-BE32-E72D297353CC}">
              <c16:uniqueId val="{00000000-2BCA-4495-AB50-95C3E08200F6}"/>
            </c:ext>
          </c:extLst>
        </c:ser>
        <c:dLbls>
          <c:showLegendKey val="0"/>
          <c:showVal val="0"/>
          <c:showCatName val="0"/>
          <c:showSerName val="0"/>
          <c:showPercent val="0"/>
          <c:showBubbleSize val="0"/>
        </c:dLbls>
        <c:gapWidth val="52"/>
        <c:gapDepth val="99"/>
        <c:shape val="box"/>
        <c:axId val="1791415119"/>
        <c:axId val="1554658367"/>
        <c:axId val="0"/>
      </c:bar3DChart>
      <c:catAx>
        <c:axId val="1791415119"/>
        <c:scaling>
          <c:orientation val="minMax"/>
        </c:scaling>
        <c:delete val="0"/>
        <c:axPos val="b"/>
        <c:numFmt formatCode="General" sourceLinked="1"/>
        <c:majorTickMark val="out"/>
        <c:minorTickMark val="none"/>
        <c:tickLblPos val="nextTo"/>
        <c:spPr>
          <a:noFill/>
          <a:ln cmpd="dbl">
            <a:noFill/>
          </a:ln>
          <a:effectLst>
            <a:outerShdw blurRad="50800" dist="50800" dir="5400000" algn="ctr" rotWithShape="0">
              <a:schemeClr val="bg2"/>
            </a:outerShdw>
          </a:effectLst>
        </c:spPr>
        <c:txPr>
          <a:bodyPr rot="-60000000" spcFirstLastPara="1" vertOverflow="ellipsis" vert="horz" wrap="square" anchor="ctr" anchorCtr="1"/>
          <a:lstStyle/>
          <a:p>
            <a:pPr>
              <a:defRPr sz="900" b="1" i="0" u="none" strike="noStrike" kern="1200" baseline="0">
                <a:solidFill>
                  <a:schemeClr val="tx1"/>
                </a:solidFill>
                <a:latin typeface="+mj-lt"/>
                <a:ea typeface="+mn-ea"/>
                <a:cs typeface="+mn-cs"/>
              </a:defRPr>
            </a:pPr>
            <a:endParaRPr lang="en-US"/>
          </a:p>
        </c:txPr>
        <c:crossAx val="1554658367"/>
        <c:crosses val="autoZero"/>
        <c:auto val="1"/>
        <c:lblAlgn val="ctr"/>
        <c:lblOffset val="100"/>
        <c:noMultiLvlLbl val="0"/>
      </c:catAx>
      <c:valAx>
        <c:axId val="1554658367"/>
        <c:scaling>
          <c:orientation val="minMax"/>
        </c:scaling>
        <c:delete val="1"/>
        <c:axPos val="l"/>
        <c:numFmt formatCode="General" sourceLinked="1"/>
        <c:majorTickMark val="out"/>
        <c:minorTickMark val="none"/>
        <c:tickLblPos val="nextTo"/>
        <c:crossAx val="1791415119"/>
        <c:crosses val="autoZero"/>
        <c:crossBetween val="between"/>
      </c:valAx>
      <c:spPr>
        <a:noFill/>
        <a:ln>
          <a:noFill/>
        </a:ln>
        <a:effectLst>
          <a:outerShdw blurRad="50800" dist="215900" dir="5400000" sx="21000" sy="2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11.png"/><Relationship Id="rId12" Type="http://schemas.openxmlformats.org/officeDocument/2006/relationships/image" Target="../media/image8.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image" Target="../media/image2.svg"/><Relationship Id="rId4" Type="http://schemas.openxmlformats.org/officeDocument/2006/relationships/image" Target="../media/image4.sv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95250</xdr:colOff>
      <xdr:row>0</xdr:row>
      <xdr:rowOff>69851</xdr:rowOff>
    </xdr:from>
    <xdr:to>
      <xdr:col>7</xdr:col>
      <xdr:colOff>1060450</xdr:colOff>
      <xdr:row>10</xdr:row>
      <xdr:rowOff>69851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7CD9FB48-70C9-4884-8229-C09CCBFB717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311650" y="69851"/>
              <a:ext cx="182880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266700</xdr:colOff>
      <xdr:row>0</xdr:row>
      <xdr:rowOff>114300</xdr:rowOff>
    </xdr:from>
    <xdr:to>
      <xdr:col>19</xdr:col>
      <xdr:colOff>603250</xdr:colOff>
      <xdr:row>13</xdr:row>
      <xdr:rowOff>165100</xdr:rowOff>
    </xdr:to>
    <xdr:graphicFrame macro="">
      <xdr:nvGraphicFramePr>
        <xdr:cNvPr id="3" name="Chart 2">
          <a:extLst>
            <a:ext uri="{FF2B5EF4-FFF2-40B4-BE49-F238E27FC236}">
              <a16:creationId xmlns:a16="http://schemas.microsoft.com/office/drawing/2014/main" id="{17A0EAA8-F2E2-416C-8ECC-C1D68D092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114300</xdr:colOff>
      <xdr:row>43</xdr:row>
      <xdr:rowOff>31750</xdr:rowOff>
    </xdr:from>
    <xdr:to>
      <xdr:col>17</xdr:col>
      <xdr:colOff>190500</xdr:colOff>
      <xdr:row>56</xdr:row>
      <xdr:rowOff>161925</xdr:rowOff>
    </xdr:to>
    <mc:AlternateContent xmlns:mc="http://schemas.openxmlformats.org/markup-compatibility/2006" xmlns:a14="http://schemas.microsoft.com/office/drawing/2010/main">
      <mc:Choice Requires="a14">
        <xdr:graphicFrame macro="">
          <xdr:nvGraphicFramePr>
            <xdr:cNvPr id="8" name="Representative 1">
              <a:extLst>
                <a:ext uri="{FF2B5EF4-FFF2-40B4-BE49-F238E27FC236}">
                  <a16:creationId xmlns:a16="http://schemas.microsoft.com/office/drawing/2014/main" id="{488FC3FE-C85C-4FF9-A30B-A7DD97C958A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496550" y="795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xdr:colOff>
      <xdr:row>19</xdr:row>
      <xdr:rowOff>38100</xdr:rowOff>
    </xdr:from>
    <xdr:to>
      <xdr:col>15</xdr:col>
      <xdr:colOff>6350</xdr:colOff>
      <xdr:row>34</xdr:row>
      <xdr:rowOff>19050</xdr:rowOff>
    </xdr:to>
    <xdr:graphicFrame macro="">
      <xdr:nvGraphicFramePr>
        <xdr:cNvPr id="9" name="Chart 8">
          <a:extLst>
            <a:ext uri="{FF2B5EF4-FFF2-40B4-BE49-F238E27FC236}">
              <a16:creationId xmlns:a16="http://schemas.microsoft.com/office/drawing/2014/main" id="{5873B387-DD35-4C03-AB73-B1BB161F4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92075</xdr:colOff>
      <xdr:row>0</xdr:row>
      <xdr:rowOff>139700</xdr:rowOff>
    </xdr:from>
    <xdr:to>
      <xdr:col>26</xdr:col>
      <xdr:colOff>0</xdr:colOff>
      <xdr:row>13</xdr:row>
      <xdr:rowOff>139700</xdr:rowOff>
    </xdr:to>
    <xdr:graphicFrame macro="">
      <xdr:nvGraphicFramePr>
        <xdr:cNvPr id="6" name="Chart 5">
          <a:extLst>
            <a:ext uri="{FF2B5EF4-FFF2-40B4-BE49-F238E27FC236}">
              <a16:creationId xmlns:a16="http://schemas.microsoft.com/office/drawing/2014/main" id="{FF5663A2-25F7-4963-8437-9433CEF4B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57150</xdr:colOff>
      <xdr:row>0</xdr:row>
      <xdr:rowOff>152400</xdr:rowOff>
    </xdr:from>
    <xdr:to>
      <xdr:col>31</xdr:col>
      <xdr:colOff>574675</xdr:colOff>
      <xdr:row>13</xdr:row>
      <xdr:rowOff>152400</xdr:rowOff>
    </xdr:to>
    <xdr:graphicFrame macro="">
      <xdr:nvGraphicFramePr>
        <xdr:cNvPr id="12" name="Chart 11">
          <a:extLst>
            <a:ext uri="{FF2B5EF4-FFF2-40B4-BE49-F238E27FC236}">
              <a16:creationId xmlns:a16="http://schemas.microsoft.com/office/drawing/2014/main" id="{AFFF103C-8A16-475D-80F2-905A6E6EF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69850</xdr:colOff>
      <xdr:row>19</xdr:row>
      <xdr:rowOff>38100</xdr:rowOff>
    </xdr:from>
    <xdr:to>
      <xdr:col>22</xdr:col>
      <xdr:colOff>361950</xdr:colOff>
      <xdr:row>34</xdr:row>
      <xdr:rowOff>19050</xdr:rowOff>
    </xdr:to>
    <xdr:graphicFrame macro="">
      <xdr:nvGraphicFramePr>
        <xdr:cNvPr id="7" name="Chart 6">
          <a:extLst>
            <a:ext uri="{FF2B5EF4-FFF2-40B4-BE49-F238E27FC236}">
              <a16:creationId xmlns:a16="http://schemas.microsoft.com/office/drawing/2014/main" id="{C2188DAF-C0CC-43AF-809F-695FF3DBA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139700</xdr:colOff>
      <xdr:row>0</xdr:row>
      <xdr:rowOff>95250</xdr:rowOff>
    </xdr:from>
    <xdr:to>
      <xdr:col>13</xdr:col>
      <xdr:colOff>234950</xdr:colOff>
      <xdr:row>15</xdr:row>
      <xdr:rowOff>76200</xdr:rowOff>
    </xdr:to>
    <xdr:graphicFrame macro="">
      <xdr:nvGraphicFramePr>
        <xdr:cNvPr id="4" name="Chart 3">
          <a:extLst>
            <a:ext uri="{FF2B5EF4-FFF2-40B4-BE49-F238E27FC236}">
              <a16:creationId xmlns:a16="http://schemas.microsoft.com/office/drawing/2014/main" id="{A0491FB8-60D1-43EF-9F53-D05305CF9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38100</xdr:rowOff>
    </xdr:from>
    <xdr:to>
      <xdr:col>6</xdr:col>
      <xdr:colOff>177800</xdr:colOff>
      <xdr:row>7</xdr:row>
      <xdr:rowOff>31750</xdr:rowOff>
    </xdr:to>
    <xdr:sp macro="" textlink="">
      <xdr:nvSpPr>
        <xdr:cNvPr id="2" name="Rectangle 1">
          <a:extLst>
            <a:ext uri="{FF2B5EF4-FFF2-40B4-BE49-F238E27FC236}">
              <a16:creationId xmlns:a16="http://schemas.microsoft.com/office/drawing/2014/main" id="{C65B9D07-ACE5-4A3D-8F94-44750BB2D87B}"/>
            </a:ext>
          </a:extLst>
        </xdr:cNvPr>
        <xdr:cNvSpPr/>
      </xdr:nvSpPr>
      <xdr:spPr>
        <a:xfrm>
          <a:off x="584200" y="406400"/>
          <a:ext cx="1117600" cy="914400"/>
        </a:xfrm>
        <a:prstGeom prst="rect">
          <a:avLst/>
        </a:prstGeom>
        <a:solidFill>
          <a:srgbClr val="92D050">
            <a:alpha val="87000"/>
          </a:srgbClr>
        </a:solidFill>
        <a:ln w="19050">
          <a:solidFill>
            <a:srgbClr val="92D050">
              <a:alpha val="9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2">
                  <a:lumMod val="75000"/>
                </a:schemeClr>
              </a:solidFill>
            </a:rPr>
            <a:t>1,000</a:t>
          </a:r>
        </a:p>
      </xdr:txBody>
    </xdr:sp>
    <xdr:clientData/>
  </xdr:twoCellAnchor>
  <xdr:oneCellAnchor>
    <xdr:from>
      <xdr:col>2</xdr:col>
      <xdr:colOff>19050</xdr:colOff>
      <xdr:row>2</xdr:row>
      <xdr:rowOff>139700</xdr:rowOff>
    </xdr:from>
    <xdr:ext cx="876300" cy="285750"/>
    <xdr:sp macro="" textlink="">
      <xdr:nvSpPr>
        <xdr:cNvPr id="3" name="TextBox 2">
          <a:extLst>
            <a:ext uri="{FF2B5EF4-FFF2-40B4-BE49-F238E27FC236}">
              <a16:creationId xmlns:a16="http://schemas.microsoft.com/office/drawing/2014/main" id="{8123B2FB-452C-4845-9F1E-1A5BB460A235}"/>
            </a:ext>
          </a:extLst>
        </xdr:cNvPr>
        <xdr:cNvSpPr txBox="1"/>
      </xdr:nvSpPr>
      <xdr:spPr>
        <a:xfrm>
          <a:off x="781050" y="508000"/>
          <a:ext cx="87630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00B0F0"/>
              </a:solidFill>
              <a:latin typeface="+mj-lt"/>
            </a:rPr>
            <a:t>CALLS</a:t>
          </a:r>
        </a:p>
      </xdr:txBody>
    </xdr:sp>
    <xdr:clientData/>
  </xdr:oneCellAnchor>
  <xdr:twoCellAnchor editAs="oneCell">
    <xdr:from>
      <xdr:col>1</xdr:col>
      <xdr:colOff>36001</xdr:colOff>
      <xdr:row>2</xdr:row>
      <xdr:rowOff>172128</xdr:rowOff>
    </xdr:from>
    <xdr:to>
      <xdr:col>2</xdr:col>
      <xdr:colOff>116977</xdr:colOff>
      <xdr:row>4</xdr:row>
      <xdr:rowOff>4460</xdr:rowOff>
    </xdr:to>
    <xdr:pic>
      <xdr:nvPicPr>
        <xdr:cNvPr id="4" name="Graphic 3" descr="Receiver with solid fill">
          <a:extLst>
            <a:ext uri="{FF2B5EF4-FFF2-40B4-BE49-F238E27FC236}">
              <a16:creationId xmlns:a16="http://schemas.microsoft.com/office/drawing/2014/main" id="{D162369D-B72A-406C-9C21-C52C243F0A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85219">
          <a:off x="607501" y="540428"/>
          <a:ext cx="271476" cy="200632"/>
        </a:xfrm>
        <a:prstGeom prst="rect">
          <a:avLst/>
        </a:prstGeom>
      </xdr:spPr>
    </xdr:pic>
    <xdr:clientData/>
  </xdr:twoCellAnchor>
  <xdr:oneCellAnchor>
    <xdr:from>
      <xdr:col>2</xdr:col>
      <xdr:colOff>76200</xdr:colOff>
      <xdr:row>5</xdr:row>
      <xdr:rowOff>95250</xdr:rowOff>
    </xdr:from>
    <xdr:ext cx="584200" cy="266700"/>
    <xdr:sp macro="" textlink="'Pivot table'!A9">
      <xdr:nvSpPr>
        <xdr:cNvPr id="5" name="TextBox 4">
          <a:extLst>
            <a:ext uri="{FF2B5EF4-FFF2-40B4-BE49-F238E27FC236}">
              <a16:creationId xmlns:a16="http://schemas.microsoft.com/office/drawing/2014/main" id="{DC2EA9B3-0545-4276-BA5B-6A13A6C442D2}"/>
            </a:ext>
          </a:extLst>
        </xdr:cNvPr>
        <xdr:cNvSpPr txBox="1"/>
      </xdr:nvSpPr>
      <xdr:spPr>
        <a:xfrm>
          <a:off x="838200" y="1016000"/>
          <a:ext cx="5842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fld id="{19A61E0D-E0A3-46C3-A4CE-CF3189D2A9DC}" type="TxLink">
            <a:rPr lang="en-US" sz="1100" b="1" i="0" u="none" strike="noStrike">
              <a:solidFill>
                <a:schemeClr val="tx1"/>
              </a:solidFill>
              <a:latin typeface="Calibri"/>
              <a:cs typeface="Calibri"/>
            </a:rPr>
            <a:pPr algn="r"/>
            <a:t>189</a:t>
          </a:fld>
          <a:endParaRPr lang="en-US" sz="1100" b="1">
            <a:solidFill>
              <a:schemeClr val="tx1"/>
            </a:solidFill>
          </a:endParaRPr>
        </a:p>
      </xdr:txBody>
    </xdr:sp>
    <xdr:clientData/>
  </xdr:oneCellAnchor>
  <xdr:twoCellAnchor>
    <xdr:from>
      <xdr:col>1</xdr:col>
      <xdr:colOff>0</xdr:colOff>
      <xdr:row>8</xdr:row>
      <xdr:rowOff>0</xdr:rowOff>
    </xdr:from>
    <xdr:to>
      <xdr:col>6</xdr:col>
      <xdr:colOff>165100</xdr:colOff>
      <xdr:row>12</xdr:row>
      <xdr:rowOff>177800</xdr:rowOff>
    </xdr:to>
    <xdr:sp macro="" textlink="'Pivot table'!B4">
      <xdr:nvSpPr>
        <xdr:cNvPr id="22" name="Rectangle 21">
          <a:extLst>
            <a:ext uri="{FF2B5EF4-FFF2-40B4-BE49-F238E27FC236}">
              <a16:creationId xmlns:a16="http://schemas.microsoft.com/office/drawing/2014/main" id="{DB4D49D6-A2A2-4A54-BB11-FAA3B61DD815}"/>
            </a:ext>
          </a:extLst>
        </xdr:cNvPr>
        <xdr:cNvSpPr/>
      </xdr:nvSpPr>
      <xdr:spPr>
        <a:xfrm>
          <a:off x="571500" y="1473200"/>
          <a:ext cx="1117600" cy="914400"/>
        </a:xfrm>
        <a:prstGeom prst="rect">
          <a:avLst/>
        </a:prstGeom>
        <a:solidFill>
          <a:srgbClr val="92D050">
            <a:alpha val="87000"/>
          </a:srgbClr>
        </a:solidFill>
        <a:ln w="19050">
          <a:solidFill>
            <a:srgbClr val="92D050">
              <a:alpha val="9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C2CB48E-9788-4474-A0DF-F20B336A9350}" type="TxLink">
            <a:rPr lang="en-US" sz="1600" b="1" i="0" u="none" strike="noStrike">
              <a:solidFill>
                <a:srgbClr val="000000"/>
              </a:solidFill>
              <a:latin typeface="Calibri"/>
              <a:cs typeface="Calibri"/>
            </a:rPr>
            <a:pPr algn="ctr"/>
            <a:t>Ksh96,623</a:t>
          </a:fld>
          <a:endParaRPr lang="en-US" sz="1600" b="1">
            <a:solidFill>
              <a:schemeClr val="tx2">
                <a:lumMod val="75000"/>
              </a:schemeClr>
            </a:solidFill>
          </a:endParaRPr>
        </a:p>
      </xdr:txBody>
    </xdr:sp>
    <xdr:clientData/>
  </xdr:twoCellAnchor>
  <xdr:oneCellAnchor>
    <xdr:from>
      <xdr:col>1</xdr:col>
      <xdr:colOff>101600</xdr:colOff>
      <xdr:row>8</xdr:row>
      <xdr:rowOff>101600</xdr:rowOff>
    </xdr:from>
    <xdr:ext cx="952500" cy="444500"/>
    <xdr:sp macro="" textlink="">
      <xdr:nvSpPr>
        <xdr:cNvPr id="23" name="TextBox 22">
          <a:extLst>
            <a:ext uri="{FF2B5EF4-FFF2-40B4-BE49-F238E27FC236}">
              <a16:creationId xmlns:a16="http://schemas.microsoft.com/office/drawing/2014/main" id="{82DA8A33-2A68-42E0-B0AC-718488DD1C88}"/>
            </a:ext>
          </a:extLst>
        </xdr:cNvPr>
        <xdr:cNvSpPr txBox="1"/>
      </xdr:nvSpPr>
      <xdr:spPr>
        <a:xfrm>
          <a:off x="673100" y="1574800"/>
          <a:ext cx="952500"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00B0F0"/>
              </a:solidFill>
              <a:latin typeface="+mj-lt"/>
            </a:rPr>
            <a:t>AMOUNT</a:t>
          </a:r>
        </a:p>
      </xdr:txBody>
    </xdr:sp>
    <xdr:clientData/>
  </xdr:oneCellAnchor>
  <xdr:oneCellAnchor>
    <xdr:from>
      <xdr:col>1</xdr:col>
      <xdr:colOff>95250</xdr:colOff>
      <xdr:row>11</xdr:row>
      <xdr:rowOff>38100</xdr:rowOff>
    </xdr:from>
    <xdr:ext cx="1003300" cy="266700"/>
    <xdr:sp macro="" textlink="'Pivot table'!B9">
      <xdr:nvSpPr>
        <xdr:cNvPr id="25" name="TextBox 24">
          <a:extLst>
            <a:ext uri="{FF2B5EF4-FFF2-40B4-BE49-F238E27FC236}">
              <a16:creationId xmlns:a16="http://schemas.microsoft.com/office/drawing/2014/main" id="{7059548D-9CB9-45C7-8A12-22BE0B05971B}"/>
            </a:ext>
          </a:extLst>
        </xdr:cNvPr>
        <xdr:cNvSpPr txBox="1"/>
      </xdr:nvSpPr>
      <xdr:spPr>
        <a:xfrm>
          <a:off x="666750" y="2063750"/>
          <a:ext cx="10033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fld id="{800CC2FD-4F22-45DA-B15F-1D82C7AD5716}" type="TxLink">
            <a:rPr lang="en-US" sz="1100" b="1" i="0" u="none" strike="noStrike">
              <a:solidFill>
                <a:srgbClr val="000000"/>
              </a:solidFill>
              <a:latin typeface="Caladea" panose="02040503050406030204" pitchFamily="18" charset="0"/>
              <a:cs typeface="Calibri"/>
            </a:rPr>
            <a:pPr algn="r"/>
            <a:t>Ksh18,415</a:t>
          </a:fld>
          <a:endParaRPr lang="en-US" sz="1100" b="1" i="0" u="none" strike="noStrike">
            <a:solidFill>
              <a:schemeClr val="tx1"/>
            </a:solidFill>
            <a:latin typeface="Caladea" panose="02040503050406030204" pitchFamily="18" charset="0"/>
            <a:cs typeface="Calibri"/>
          </a:endParaRPr>
        </a:p>
      </xdr:txBody>
    </xdr:sp>
    <xdr:clientData/>
  </xdr:oneCellAnchor>
  <xdr:twoCellAnchor>
    <xdr:from>
      <xdr:col>1</xdr:col>
      <xdr:colOff>0</xdr:colOff>
      <xdr:row>14</xdr:row>
      <xdr:rowOff>0</xdr:rowOff>
    </xdr:from>
    <xdr:to>
      <xdr:col>6</xdr:col>
      <xdr:colOff>165100</xdr:colOff>
      <xdr:row>18</xdr:row>
      <xdr:rowOff>177800</xdr:rowOff>
    </xdr:to>
    <xdr:sp macro="" textlink="'Pivot table'!C4">
      <xdr:nvSpPr>
        <xdr:cNvPr id="26" name="Rectangle 25">
          <a:extLst>
            <a:ext uri="{FF2B5EF4-FFF2-40B4-BE49-F238E27FC236}">
              <a16:creationId xmlns:a16="http://schemas.microsoft.com/office/drawing/2014/main" id="{99F056A6-F711-4388-8623-DB0C8C3BBC38}"/>
            </a:ext>
          </a:extLst>
        </xdr:cNvPr>
        <xdr:cNvSpPr/>
      </xdr:nvSpPr>
      <xdr:spPr>
        <a:xfrm>
          <a:off x="571500" y="2578100"/>
          <a:ext cx="1117600" cy="914400"/>
        </a:xfrm>
        <a:prstGeom prst="rect">
          <a:avLst/>
        </a:prstGeom>
        <a:solidFill>
          <a:srgbClr val="92D050">
            <a:alpha val="87000"/>
          </a:srgbClr>
        </a:solidFill>
        <a:ln w="19050">
          <a:solidFill>
            <a:srgbClr val="92D050">
              <a:alpha val="9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8C1BBF8-0976-42D3-B6A3-891557ECD018}" type="TxLink">
            <a:rPr lang="en-US" sz="1800" b="1" i="0" u="none" strike="noStrike">
              <a:solidFill>
                <a:srgbClr val="000000"/>
              </a:solidFill>
              <a:latin typeface="Calibri"/>
              <a:cs typeface="Calibri"/>
            </a:rPr>
            <a:pPr algn="ctr"/>
            <a:t>89,850</a:t>
          </a:fld>
          <a:endParaRPr lang="en-US" sz="1800" b="1">
            <a:solidFill>
              <a:schemeClr val="tx2">
                <a:lumMod val="75000"/>
              </a:schemeClr>
            </a:solidFill>
          </a:endParaRPr>
        </a:p>
      </xdr:txBody>
    </xdr:sp>
    <xdr:clientData/>
  </xdr:twoCellAnchor>
  <xdr:oneCellAnchor>
    <xdr:from>
      <xdr:col>1</xdr:col>
      <xdr:colOff>69850</xdr:colOff>
      <xdr:row>14</xdr:row>
      <xdr:rowOff>101600</xdr:rowOff>
    </xdr:from>
    <xdr:ext cx="1066800" cy="330200"/>
    <xdr:sp macro="" textlink="">
      <xdr:nvSpPr>
        <xdr:cNvPr id="27" name="TextBox 26">
          <a:extLst>
            <a:ext uri="{FF2B5EF4-FFF2-40B4-BE49-F238E27FC236}">
              <a16:creationId xmlns:a16="http://schemas.microsoft.com/office/drawing/2014/main" id="{400F198A-9C1D-4822-8C17-10FB0105E34D}"/>
            </a:ext>
          </a:extLst>
        </xdr:cNvPr>
        <xdr:cNvSpPr txBox="1"/>
      </xdr:nvSpPr>
      <xdr:spPr>
        <a:xfrm>
          <a:off x="641350" y="2679700"/>
          <a:ext cx="1066800"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00B0F0"/>
              </a:solidFill>
              <a:latin typeface="+mj-lt"/>
            </a:rPr>
            <a:t>DURATION</a:t>
          </a:r>
        </a:p>
      </xdr:txBody>
    </xdr:sp>
    <xdr:clientData/>
  </xdr:oneCellAnchor>
  <xdr:oneCellAnchor>
    <xdr:from>
      <xdr:col>1</xdr:col>
      <xdr:colOff>88900</xdr:colOff>
      <xdr:row>17</xdr:row>
      <xdr:rowOff>57150</xdr:rowOff>
    </xdr:from>
    <xdr:ext cx="793750" cy="266700"/>
    <xdr:sp macro="" textlink="'Pivot table'!C9">
      <xdr:nvSpPr>
        <xdr:cNvPr id="29" name="TextBox 28">
          <a:extLst>
            <a:ext uri="{FF2B5EF4-FFF2-40B4-BE49-F238E27FC236}">
              <a16:creationId xmlns:a16="http://schemas.microsoft.com/office/drawing/2014/main" id="{0A9E645A-8E98-4CD5-A530-14759F66D9A1}"/>
            </a:ext>
          </a:extLst>
        </xdr:cNvPr>
        <xdr:cNvSpPr txBox="1"/>
      </xdr:nvSpPr>
      <xdr:spPr>
        <a:xfrm>
          <a:off x="660400" y="3187700"/>
          <a:ext cx="79375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17306D84-5139-4CF7-A6B9-3A06386EE368}" type="TxLink">
            <a:rPr lang="en-US" sz="1100" b="1" i="0" u="none" strike="noStrike">
              <a:solidFill>
                <a:srgbClr val="000000"/>
              </a:solidFill>
              <a:latin typeface="Caladea" panose="02040503050406030204" pitchFamily="18" charset="0"/>
              <a:cs typeface="Calibri"/>
            </a:rPr>
            <a:pPr algn="r"/>
            <a:t>16,834</a:t>
          </a:fld>
          <a:endParaRPr lang="en-US" sz="1100" b="1">
            <a:solidFill>
              <a:schemeClr val="tx1"/>
            </a:solidFill>
            <a:latin typeface="Caladea" panose="02040503050406030204" pitchFamily="18" charset="0"/>
          </a:endParaRPr>
        </a:p>
      </xdr:txBody>
    </xdr:sp>
    <xdr:clientData/>
  </xdr:oneCellAnchor>
  <xdr:twoCellAnchor>
    <xdr:from>
      <xdr:col>1</xdr:col>
      <xdr:colOff>0</xdr:colOff>
      <xdr:row>20</xdr:row>
      <xdr:rowOff>0</xdr:rowOff>
    </xdr:from>
    <xdr:to>
      <xdr:col>6</xdr:col>
      <xdr:colOff>165100</xdr:colOff>
      <xdr:row>24</xdr:row>
      <xdr:rowOff>177800</xdr:rowOff>
    </xdr:to>
    <xdr:sp macro="" textlink="'Pivot table'!D4">
      <xdr:nvSpPr>
        <xdr:cNvPr id="30" name="Rectangle 29">
          <a:extLst>
            <a:ext uri="{FF2B5EF4-FFF2-40B4-BE49-F238E27FC236}">
              <a16:creationId xmlns:a16="http://schemas.microsoft.com/office/drawing/2014/main" id="{441DAF84-5B18-44AA-A570-B893B5D03B79}"/>
            </a:ext>
          </a:extLst>
        </xdr:cNvPr>
        <xdr:cNvSpPr/>
      </xdr:nvSpPr>
      <xdr:spPr>
        <a:xfrm>
          <a:off x="571500" y="3683000"/>
          <a:ext cx="1117600" cy="914400"/>
        </a:xfrm>
        <a:prstGeom prst="rect">
          <a:avLst/>
        </a:prstGeom>
        <a:solidFill>
          <a:srgbClr val="92D050">
            <a:alpha val="87000"/>
          </a:srgbClr>
        </a:solidFill>
        <a:ln w="19050">
          <a:solidFill>
            <a:srgbClr val="92D050">
              <a:alpha val="9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7FFF6DA-6B4F-4853-8394-B4E4F8DD8D9C}" type="TxLink">
            <a:rPr lang="en-US" sz="1800" b="1" i="0" u="none" strike="noStrike">
              <a:solidFill>
                <a:srgbClr val="000000"/>
              </a:solidFill>
              <a:latin typeface="Calibri"/>
              <a:cs typeface="Calibri"/>
            </a:rPr>
            <a:pPr algn="ctr"/>
            <a:t>3.96</a:t>
          </a:fld>
          <a:endParaRPr lang="en-US" sz="1800" b="1">
            <a:solidFill>
              <a:schemeClr val="tx2">
                <a:lumMod val="75000"/>
              </a:schemeClr>
            </a:solidFill>
          </a:endParaRPr>
        </a:p>
      </xdr:txBody>
    </xdr:sp>
    <xdr:clientData/>
  </xdr:twoCellAnchor>
  <xdr:oneCellAnchor>
    <xdr:from>
      <xdr:col>2</xdr:col>
      <xdr:colOff>6350</xdr:colOff>
      <xdr:row>20</xdr:row>
      <xdr:rowOff>101600</xdr:rowOff>
    </xdr:from>
    <xdr:ext cx="876300" cy="285750"/>
    <xdr:sp macro="" textlink="">
      <xdr:nvSpPr>
        <xdr:cNvPr id="31" name="TextBox 30">
          <a:extLst>
            <a:ext uri="{FF2B5EF4-FFF2-40B4-BE49-F238E27FC236}">
              <a16:creationId xmlns:a16="http://schemas.microsoft.com/office/drawing/2014/main" id="{9C3AE1EC-7BBB-4B6E-A256-C5A8554BD000}"/>
            </a:ext>
          </a:extLst>
        </xdr:cNvPr>
        <xdr:cNvSpPr txBox="1"/>
      </xdr:nvSpPr>
      <xdr:spPr>
        <a:xfrm>
          <a:off x="768350" y="3784600"/>
          <a:ext cx="87630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rgbClr val="00B0F0"/>
              </a:solidFill>
              <a:latin typeface="+mj-lt"/>
            </a:rPr>
            <a:t>RATING</a:t>
          </a:r>
        </a:p>
      </xdr:txBody>
    </xdr:sp>
    <xdr:clientData/>
  </xdr:oneCellAnchor>
  <xdr:oneCellAnchor>
    <xdr:from>
      <xdr:col>2</xdr:col>
      <xdr:colOff>63500</xdr:colOff>
      <xdr:row>23</xdr:row>
      <xdr:rowOff>57150</xdr:rowOff>
    </xdr:from>
    <xdr:ext cx="584200" cy="266700"/>
    <xdr:sp macro="" textlink="'Pivot table'!D9">
      <xdr:nvSpPr>
        <xdr:cNvPr id="33" name="TextBox 32">
          <a:extLst>
            <a:ext uri="{FF2B5EF4-FFF2-40B4-BE49-F238E27FC236}">
              <a16:creationId xmlns:a16="http://schemas.microsoft.com/office/drawing/2014/main" id="{6CCFDFEE-8EA9-406C-8690-6DF56CDD7990}"/>
            </a:ext>
          </a:extLst>
        </xdr:cNvPr>
        <xdr:cNvSpPr txBox="1"/>
      </xdr:nvSpPr>
      <xdr:spPr>
        <a:xfrm>
          <a:off x="825500" y="4292600"/>
          <a:ext cx="5842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fld id="{9D581F9B-DDF7-49DA-8977-2B281F16796D}" type="TxLink">
            <a:rPr lang="en-US" sz="1400" b="1" i="0" u="none" strike="noStrike">
              <a:solidFill>
                <a:srgbClr val="000000"/>
              </a:solidFill>
              <a:latin typeface="Caladea" panose="02040503050406030204" pitchFamily="18" charset="0"/>
              <a:cs typeface="Calibri"/>
            </a:rPr>
            <a:pPr algn="r"/>
            <a:t>4.04</a:t>
          </a:fld>
          <a:endParaRPr lang="en-US" sz="1400" b="1">
            <a:solidFill>
              <a:schemeClr val="tx1"/>
            </a:solidFill>
            <a:latin typeface="Caladea" panose="02040503050406030204" pitchFamily="18" charset="0"/>
          </a:endParaRPr>
        </a:p>
      </xdr:txBody>
    </xdr:sp>
    <xdr:clientData/>
  </xdr:oneCellAnchor>
  <xdr:twoCellAnchor>
    <xdr:from>
      <xdr:col>1</xdr:col>
      <xdr:colOff>0</xdr:colOff>
      <xdr:row>26</xdr:row>
      <xdr:rowOff>0</xdr:rowOff>
    </xdr:from>
    <xdr:to>
      <xdr:col>6</xdr:col>
      <xdr:colOff>165100</xdr:colOff>
      <xdr:row>30</xdr:row>
      <xdr:rowOff>177800</xdr:rowOff>
    </xdr:to>
    <xdr:sp macro="" textlink="'Pivot table'!E4">
      <xdr:nvSpPr>
        <xdr:cNvPr id="34" name="Rectangle 33">
          <a:extLst>
            <a:ext uri="{FF2B5EF4-FFF2-40B4-BE49-F238E27FC236}">
              <a16:creationId xmlns:a16="http://schemas.microsoft.com/office/drawing/2014/main" id="{F051C3CC-1930-49DA-B39E-2DF21F2D284E}"/>
            </a:ext>
          </a:extLst>
        </xdr:cNvPr>
        <xdr:cNvSpPr/>
      </xdr:nvSpPr>
      <xdr:spPr>
        <a:xfrm>
          <a:off x="571500" y="4787900"/>
          <a:ext cx="1117600" cy="914400"/>
        </a:xfrm>
        <a:prstGeom prst="rect">
          <a:avLst/>
        </a:prstGeom>
        <a:solidFill>
          <a:srgbClr val="92D050">
            <a:alpha val="87000"/>
          </a:srgbClr>
        </a:solidFill>
        <a:ln w="19050">
          <a:solidFill>
            <a:srgbClr val="92D050">
              <a:alpha val="9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F0BC59-8121-4FB6-9E87-83ABF0E29BC5}" type="TxLink">
            <a:rPr lang="en-US" sz="1800" b="1" i="0" u="none" strike="noStrike">
              <a:solidFill>
                <a:srgbClr val="000000"/>
              </a:solidFill>
              <a:latin typeface="Calibri"/>
              <a:cs typeface="Calibri"/>
            </a:rPr>
            <a:pPr algn="ctr"/>
            <a:t>307</a:t>
          </a:fld>
          <a:endParaRPr lang="en-US" sz="1800" b="1">
            <a:solidFill>
              <a:schemeClr val="tx2">
                <a:lumMod val="75000"/>
              </a:schemeClr>
            </a:solidFill>
          </a:endParaRPr>
        </a:p>
      </xdr:txBody>
    </xdr:sp>
    <xdr:clientData/>
  </xdr:twoCellAnchor>
  <xdr:oneCellAnchor>
    <xdr:from>
      <xdr:col>0</xdr:col>
      <xdr:colOff>95250</xdr:colOff>
      <xdr:row>26</xdr:row>
      <xdr:rowOff>101600</xdr:rowOff>
    </xdr:from>
    <xdr:ext cx="1162050" cy="285750"/>
    <xdr:sp macro="" textlink="">
      <xdr:nvSpPr>
        <xdr:cNvPr id="35" name="TextBox 34">
          <a:extLst>
            <a:ext uri="{FF2B5EF4-FFF2-40B4-BE49-F238E27FC236}">
              <a16:creationId xmlns:a16="http://schemas.microsoft.com/office/drawing/2014/main" id="{39C3FAF1-9D56-4418-AE91-4EF6CF43FF11}"/>
            </a:ext>
          </a:extLst>
        </xdr:cNvPr>
        <xdr:cNvSpPr txBox="1"/>
      </xdr:nvSpPr>
      <xdr:spPr>
        <a:xfrm>
          <a:off x="476250" y="4889500"/>
          <a:ext cx="116205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US" sz="1200">
              <a:solidFill>
                <a:srgbClr val="00B0F0"/>
              </a:solidFill>
              <a:latin typeface="+mj-lt"/>
            </a:rPr>
            <a:t>5</a:t>
          </a:r>
          <a:r>
            <a:rPr lang="en-US" sz="1200" baseline="0">
              <a:solidFill>
                <a:srgbClr val="00B0F0"/>
              </a:solidFill>
              <a:latin typeface="+mj-lt"/>
            </a:rPr>
            <a:t> STAR</a:t>
          </a:r>
          <a:endParaRPr lang="en-US" sz="1200">
            <a:solidFill>
              <a:srgbClr val="00B0F0"/>
            </a:solidFill>
            <a:latin typeface="+mj-lt"/>
          </a:endParaRPr>
        </a:p>
      </xdr:txBody>
    </xdr:sp>
    <xdr:clientData/>
  </xdr:oneCellAnchor>
  <xdr:oneCellAnchor>
    <xdr:from>
      <xdr:col>2</xdr:col>
      <xdr:colOff>63500</xdr:colOff>
      <xdr:row>29</xdr:row>
      <xdr:rowOff>57150</xdr:rowOff>
    </xdr:from>
    <xdr:ext cx="584200" cy="266700"/>
    <xdr:sp macro="" textlink="'Pivot table'!E9">
      <xdr:nvSpPr>
        <xdr:cNvPr id="37" name="TextBox 36">
          <a:extLst>
            <a:ext uri="{FF2B5EF4-FFF2-40B4-BE49-F238E27FC236}">
              <a16:creationId xmlns:a16="http://schemas.microsoft.com/office/drawing/2014/main" id="{BE7D1EB4-3C9A-414C-B69A-20CA5C3F1AAB}"/>
            </a:ext>
          </a:extLst>
        </xdr:cNvPr>
        <xdr:cNvSpPr txBox="1"/>
      </xdr:nvSpPr>
      <xdr:spPr>
        <a:xfrm>
          <a:off x="825500" y="5397500"/>
          <a:ext cx="5842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fld id="{2E6E1883-D988-4555-881A-B474900C1303}" type="TxLink">
            <a:rPr lang="en-US" sz="1600" b="1" i="0" u="none" strike="noStrike">
              <a:solidFill>
                <a:srgbClr val="000000"/>
              </a:solidFill>
              <a:latin typeface="Caladea" panose="02040503050406030204" pitchFamily="18" charset="0"/>
              <a:cs typeface="Calibri"/>
            </a:rPr>
            <a:pPr algn="r"/>
            <a:t>60</a:t>
          </a:fld>
          <a:endParaRPr lang="en-US" sz="1600" b="1">
            <a:solidFill>
              <a:schemeClr val="tx1"/>
            </a:solidFill>
            <a:latin typeface="Caladea" panose="02040503050406030204" pitchFamily="18" charset="0"/>
          </a:endParaRPr>
        </a:p>
      </xdr:txBody>
    </xdr:sp>
    <xdr:clientData/>
  </xdr:oneCellAnchor>
  <xdr:twoCellAnchor editAs="oneCell">
    <xdr:from>
      <xdr:col>0</xdr:col>
      <xdr:colOff>184150</xdr:colOff>
      <xdr:row>10</xdr:row>
      <xdr:rowOff>165101</xdr:rowOff>
    </xdr:from>
    <xdr:to>
      <xdr:col>2</xdr:col>
      <xdr:colOff>76200</xdr:colOff>
      <xdr:row>12</xdr:row>
      <xdr:rowOff>60649</xdr:rowOff>
    </xdr:to>
    <xdr:pic>
      <xdr:nvPicPr>
        <xdr:cNvPr id="38" name="Graphic 37" descr="Hourglass Finished with solid fill">
          <a:extLst>
            <a:ext uri="{FF2B5EF4-FFF2-40B4-BE49-F238E27FC236}">
              <a16:creationId xmlns:a16="http://schemas.microsoft.com/office/drawing/2014/main" id="{DAA9E3AD-7AD2-4703-BE87-B8BF54412E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5150" y="2006601"/>
          <a:ext cx="273050" cy="263848"/>
        </a:xfrm>
        <a:prstGeom prst="rect">
          <a:avLst/>
        </a:prstGeom>
      </xdr:spPr>
    </xdr:pic>
    <xdr:clientData/>
  </xdr:twoCellAnchor>
  <xdr:twoCellAnchor editAs="oneCell">
    <xdr:from>
      <xdr:col>0</xdr:col>
      <xdr:colOff>165100</xdr:colOff>
      <xdr:row>17</xdr:row>
      <xdr:rowOff>12700</xdr:rowOff>
    </xdr:from>
    <xdr:to>
      <xdr:col>2</xdr:col>
      <xdr:colOff>139700</xdr:colOff>
      <xdr:row>18</xdr:row>
      <xdr:rowOff>148201</xdr:rowOff>
    </xdr:to>
    <xdr:pic>
      <xdr:nvPicPr>
        <xdr:cNvPr id="39" name="Graphic 38" descr="Shopping cart with solid fill">
          <a:extLst>
            <a:ext uri="{FF2B5EF4-FFF2-40B4-BE49-F238E27FC236}">
              <a16:creationId xmlns:a16="http://schemas.microsoft.com/office/drawing/2014/main" id="{EE1C1395-6C78-4A62-8E2B-683AB07109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100" y="3143250"/>
          <a:ext cx="355600" cy="319651"/>
        </a:xfrm>
        <a:prstGeom prst="rect">
          <a:avLst/>
        </a:prstGeom>
      </xdr:spPr>
    </xdr:pic>
    <xdr:clientData/>
  </xdr:twoCellAnchor>
  <xdr:twoCellAnchor editAs="oneCell">
    <xdr:from>
      <xdr:col>1</xdr:col>
      <xdr:colOff>152400</xdr:colOff>
      <xdr:row>19</xdr:row>
      <xdr:rowOff>88900</xdr:rowOff>
    </xdr:from>
    <xdr:to>
      <xdr:col>6</xdr:col>
      <xdr:colOff>82550</xdr:colOff>
      <xdr:row>21</xdr:row>
      <xdr:rowOff>104472</xdr:rowOff>
    </xdr:to>
    <xdr:pic>
      <xdr:nvPicPr>
        <xdr:cNvPr id="40" name="Graphic 39" descr="Rating Star with solid fill">
          <a:extLst>
            <a:ext uri="{FF2B5EF4-FFF2-40B4-BE49-F238E27FC236}">
              <a16:creationId xmlns:a16="http://schemas.microsoft.com/office/drawing/2014/main" id="{8364E858-4CE3-40F0-BE48-39E5BAC8A5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23900" y="3587750"/>
          <a:ext cx="882650" cy="383872"/>
        </a:xfrm>
        <a:prstGeom prst="rect">
          <a:avLst/>
        </a:prstGeom>
      </xdr:spPr>
    </xdr:pic>
    <xdr:clientData/>
  </xdr:twoCellAnchor>
  <xdr:twoCellAnchor editAs="oneCell">
    <xdr:from>
      <xdr:col>0</xdr:col>
      <xdr:colOff>184150</xdr:colOff>
      <xdr:row>28</xdr:row>
      <xdr:rowOff>69850</xdr:rowOff>
    </xdr:from>
    <xdr:to>
      <xdr:col>2</xdr:col>
      <xdr:colOff>143594</xdr:colOff>
      <xdr:row>30</xdr:row>
      <xdr:rowOff>19050</xdr:rowOff>
    </xdr:to>
    <xdr:pic>
      <xdr:nvPicPr>
        <xdr:cNvPr id="41" name="Graphic 40" descr="Star-struck face outline with solid fill">
          <a:extLst>
            <a:ext uri="{FF2B5EF4-FFF2-40B4-BE49-F238E27FC236}">
              <a16:creationId xmlns:a16="http://schemas.microsoft.com/office/drawing/2014/main" id="{6F9F2F1D-396A-497E-94E7-AA94315E47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150" y="5226050"/>
          <a:ext cx="340444" cy="317500"/>
        </a:xfrm>
        <a:prstGeom prst="rect">
          <a:avLst/>
        </a:prstGeom>
      </xdr:spPr>
    </xdr:pic>
    <xdr:clientData/>
  </xdr:twoCellAnchor>
  <xdr:twoCellAnchor>
    <xdr:from>
      <xdr:col>7</xdr:col>
      <xdr:colOff>106361</xdr:colOff>
      <xdr:row>15</xdr:row>
      <xdr:rowOff>166694</xdr:rowOff>
    </xdr:from>
    <xdr:to>
      <xdr:col>20</xdr:col>
      <xdr:colOff>150813</xdr:colOff>
      <xdr:row>31</xdr:row>
      <xdr:rowOff>87314</xdr:rowOff>
    </xdr:to>
    <xdr:graphicFrame macro="">
      <xdr:nvGraphicFramePr>
        <xdr:cNvPr id="24" name="Chart 23">
          <a:extLst>
            <a:ext uri="{FF2B5EF4-FFF2-40B4-BE49-F238E27FC236}">
              <a16:creationId xmlns:a16="http://schemas.microsoft.com/office/drawing/2014/main" id="{0D563DF1-9FC4-4DE0-9D76-C33A0CE8B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xdr:col>
      <xdr:colOff>19050</xdr:colOff>
      <xdr:row>0</xdr:row>
      <xdr:rowOff>57150</xdr:rowOff>
    </xdr:from>
    <xdr:ext cx="4102100" cy="374141"/>
    <xdr:sp macro="" textlink="">
      <xdr:nvSpPr>
        <xdr:cNvPr id="6" name="TextBox 5">
          <a:extLst>
            <a:ext uri="{FF2B5EF4-FFF2-40B4-BE49-F238E27FC236}">
              <a16:creationId xmlns:a16="http://schemas.microsoft.com/office/drawing/2014/main" id="{9FD10626-203E-40E6-BDEF-07A189496BEB}"/>
            </a:ext>
          </a:extLst>
        </xdr:cNvPr>
        <xdr:cNvSpPr txBox="1"/>
      </xdr:nvSpPr>
      <xdr:spPr>
        <a:xfrm>
          <a:off x="590550" y="57150"/>
          <a:ext cx="4102100" cy="374141"/>
        </a:xfrm>
        <a:prstGeom prst="rect">
          <a:avLst/>
        </a:prstGeom>
        <a:solidFill>
          <a:srgbClr val="0070C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a:solidFill>
                <a:srgbClr val="92D050"/>
              </a:solidFill>
            </a:rPr>
            <a:t>CALL</a:t>
          </a:r>
          <a:r>
            <a:rPr lang="en-US" sz="1800" b="1" baseline="0">
              <a:solidFill>
                <a:srgbClr val="92D050"/>
              </a:solidFill>
            </a:rPr>
            <a:t> CENTRE ANALYSIS DASHBOARD</a:t>
          </a:r>
          <a:endParaRPr lang="en-US" sz="1800" b="1">
            <a:solidFill>
              <a:srgbClr val="92D050"/>
            </a:solidFill>
          </a:endParaRPr>
        </a:p>
      </xdr:txBody>
    </xdr:sp>
    <xdr:clientData/>
  </xdr:oneCellAnchor>
  <xdr:twoCellAnchor editAs="oneCell">
    <xdr:from>
      <xdr:col>49</xdr:col>
      <xdr:colOff>44450</xdr:colOff>
      <xdr:row>0</xdr:row>
      <xdr:rowOff>71437</xdr:rowOff>
    </xdr:from>
    <xdr:to>
      <xdr:col>51</xdr:col>
      <xdr:colOff>506412</xdr:colOff>
      <xdr:row>9</xdr:row>
      <xdr:rowOff>147637</xdr:rowOff>
    </xdr:to>
    <mc:AlternateContent xmlns:mc="http://schemas.openxmlformats.org/markup-compatibility/2006" xmlns:a14="http://schemas.microsoft.com/office/drawing/2010/main">
      <mc:Choice Requires="a14">
        <xdr:graphicFrame macro="">
          <xdr:nvGraphicFramePr>
            <xdr:cNvPr id="28" name="Call Rep">
              <a:extLst>
                <a:ext uri="{FF2B5EF4-FFF2-40B4-BE49-F238E27FC236}">
                  <a16:creationId xmlns:a16="http://schemas.microsoft.com/office/drawing/2014/main" id="{425EF9A5-6D1E-4CE0-AC6B-47A371B0721C}"/>
                </a:ext>
              </a:extLst>
            </xdr:cNvPr>
            <xdr:cNvGraphicFramePr/>
          </xdr:nvGraphicFramePr>
          <xdr:xfrm>
            <a:off x="0" y="0"/>
            <a:ext cx="0" cy="0"/>
          </xdr:xfrm>
          <a:graphic>
            <a:graphicData uri="http://schemas.microsoft.com/office/drawing/2010/slicer">
              <sle:slicer xmlns:sle="http://schemas.microsoft.com/office/drawing/2010/slicer" name="Call Rep"/>
            </a:graphicData>
          </a:graphic>
        </xdr:graphicFrame>
      </mc:Choice>
      <mc:Fallback xmlns="">
        <xdr:sp macro="" textlink="">
          <xdr:nvSpPr>
            <xdr:cNvPr id="0" name=""/>
            <xdr:cNvSpPr>
              <a:spLocks noTextEdit="1"/>
            </xdr:cNvSpPr>
          </xdr:nvSpPr>
          <xdr:spPr>
            <a:xfrm>
              <a:off x="13204825" y="71437"/>
              <a:ext cx="1358900" cy="1751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82551</xdr:colOff>
      <xdr:row>2</xdr:row>
      <xdr:rowOff>39687</xdr:rowOff>
    </xdr:from>
    <xdr:to>
      <xdr:col>42</xdr:col>
      <xdr:colOff>82550</xdr:colOff>
      <xdr:row>15</xdr:row>
      <xdr:rowOff>134938</xdr:rowOff>
    </xdr:to>
    <xdr:graphicFrame macro="">
      <xdr:nvGraphicFramePr>
        <xdr:cNvPr id="43" name="Chart 42">
          <a:extLst>
            <a:ext uri="{FF2B5EF4-FFF2-40B4-BE49-F238E27FC236}">
              <a16:creationId xmlns:a16="http://schemas.microsoft.com/office/drawing/2014/main" id="{46DE8D94-850B-406A-8A52-0B8C68F6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107951</xdr:colOff>
      <xdr:row>15</xdr:row>
      <xdr:rowOff>158749</xdr:rowOff>
    </xdr:from>
    <xdr:to>
      <xdr:col>32</xdr:col>
      <xdr:colOff>127000</xdr:colOff>
      <xdr:row>31</xdr:row>
      <xdr:rowOff>79375</xdr:rowOff>
    </xdr:to>
    <xdr:graphicFrame macro="">
      <xdr:nvGraphicFramePr>
        <xdr:cNvPr id="36" name="Chart 35">
          <a:extLst>
            <a:ext uri="{FF2B5EF4-FFF2-40B4-BE49-F238E27FC236}">
              <a16:creationId xmlns:a16="http://schemas.microsoft.com/office/drawing/2014/main" id="{AD77781F-9AF0-4CE7-8FA5-3796A87D4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127000</xdr:colOff>
      <xdr:row>15</xdr:row>
      <xdr:rowOff>158750</xdr:rowOff>
    </xdr:from>
    <xdr:to>
      <xdr:col>42</xdr:col>
      <xdr:colOff>85725</xdr:colOff>
      <xdr:row>31</xdr:row>
      <xdr:rowOff>63500</xdr:rowOff>
    </xdr:to>
    <xdr:graphicFrame macro="">
      <xdr:nvGraphicFramePr>
        <xdr:cNvPr id="42" name="Chart 41">
          <a:extLst>
            <a:ext uri="{FF2B5EF4-FFF2-40B4-BE49-F238E27FC236}">
              <a16:creationId xmlns:a16="http://schemas.microsoft.com/office/drawing/2014/main" id="{6B9FD2CE-910C-41A0-B061-DB2E0EFC9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20</xdr:col>
      <xdr:colOff>95251</xdr:colOff>
      <xdr:row>15</xdr:row>
      <xdr:rowOff>152399</xdr:rowOff>
    </xdr:from>
    <xdr:ext cx="4159249" cy="2847976"/>
    <xdr:sp macro="" textlink="">
      <xdr:nvSpPr>
        <xdr:cNvPr id="9" name="TextBox 8">
          <a:extLst>
            <a:ext uri="{FF2B5EF4-FFF2-40B4-BE49-F238E27FC236}">
              <a16:creationId xmlns:a16="http://schemas.microsoft.com/office/drawing/2014/main" id="{0A70125E-37B4-4A27-AFE0-E62DD780305B}"/>
            </a:ext>
          </a:extLst>
        </xdr:cNvPr>
        <xdr:cNvSpPr txBox="1"/>
      </xdr:nvSpPr>
      <xdr:spPr>
        <a:xfrm>
          <a:off x="4286251" y="3136899"/>
          <a:ext cx="4159249" cy="2847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7</xdr:col>
      <xdr:colOff>101602</xdr:colOff>
      <xdr:row>2</xdr:row>
      <xdr:rowOff>23812</xdr:rowOff>
    </xdr:from>
    <xdr:to>
      <xdr:col>22</xdr:col>
      <xdr:colOff>103921</xdr:colOff>
      <xdr:row>15</xdr:row>
      <xdr:rowOff>130250</xdr:rowOff>
    </xdr:to>
    <xdr:graphicFrame macro="">
      <xdr:nvGraphicFramePr>
        <xdr:cNvPr id="44" name="Chart 43">
          <a:extLst>
            <a:ext uri="{FF2B5EF4-FFF2-40B4-BE49-F238E27FC236}">
              <a16:creationId xmlns:a16="http://schemas.microsoft.com/office/drawing/2014/main" id="{FB397B82-8061-46EB-AE30-9C395C7A6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126999</xdr:colOff>
      <xdr:row>20</xdr:row>
      <xdr:rowOff>39687</xdr:rowOff>
    </xdr:from>
    <xdr:to>
      <xdr:col>48</xdr:col>
      <xdr:colOff>698499</xdr:colOff>
      <xdr:row>31</xdr:row>
      <xdr:rowOff>63499</xdr:rowOff>
    </xdr:to>
    <xdr:graphicFrame macro="">
      <xdr:nvGraphicFramePr>
        <xdr:cNvPr id="32" name="Chart 31">
          <a:extLst>
            <a:ext uri="{FF2B5EF4-FFF2-40B4-BE49-F238E27FC236}">
              <a16:creationId xmlns:a16="http://schemas.microsoft.com/office/drawing/2014/main" id="{B156DC86-7265-4E6C-BA27-19CDA8466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137794</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292152</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165652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158625</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145586</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768600347219" backgroundQuery="1" createdVersion="6" refreshedVersion="6" minRefreshableVersion="3" recordCount="0" supportSubquery="1" supportAdvancedDrill="1" xr:uid="{542D7843-C5F8-4AE0-9325-789C94920631}">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Call Cost]" caption="Call Cost" numFmtId="0" hierarchy="18"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Call Cost]" caption="Call Cos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886039351855" backgroundQuery="1" createdVersion="6" refreshedVersion="6" minRefreshableVersion="3" recordCount="0" supportSubquery="1" supportAdvancedDrill="1" xr:uid="{E4884DB8-03F5-4ECC-8867-782E77DFD899}">
  <cacheSource type="external" connectionId="1"/>
  <cacheFields count="6">
    <cacheField name="[Measures].[Call Count]" caption="Call Count" numFmtId="0" hierarchy="17" level="32767"/>
    <cacheField name="[Measures].[Call Cost]" caption="Call Cost" numFmtId="0" hierarchy="18" level="32767"/>
    <cacheField name="[Measures].[Total Duration]" caption="Total Duration" numFmtId="0" hierarchy="19" level="32767"/>
    <cacheField name="[Measures].[Average Rating]" caption="Average Rating" numFmtId="0" hierarchy="20" level="32767"/>
    <cacheField name="[Measures].[5*STAR]" caption="5*STAR" numFmtId="0" hierarchy="21" level="32767"/>
    <cacheField name="[calls].[Representative].[Representative]" caption="Representative" numFmtId="0" hierarchy="3" level="1">
      <sharedItems containsSemiMixedTypes="0" containsNonDate="0" containsString="0"/>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Call Cost]" caption="Call Cos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STAR]" caption="5*STA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1.517397685187" backgroundQuery="1" createdVersion="6" refreshedVersion="6" minRefreshableVersion="3" recordCount="0" supportSubquery="1" supportAdvancedDrill="1" xr:uid="{497A2B30-4221-4B4A-9A17-9FEBC46A4461}">
  <cacheSource type="external" connectionId="1"/>
  <cacheFields count="6">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alls].[Representative].[Representative]" caption="Representative" numFmtId="0" hierarchy="3" level="1">
      <sharedItems count="5">
        <s v="R01"/>
        <s v="R02"/>
        <s v="R03"/>
        <s v="R04"/>
        <s v="R05"/>
      </sharedItems>
    </cacheField>
    <cacheField name="[Measures].[Call Cost]" caption="Call Cost" numFmtId="0" hierarchy="18" level="32767"/>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4"/>
      </fieldsUsage>
    </cacheHierarchy>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1620372" backgroundQuery="1" createdVersion="6" refreshedVersion="6" minRefreshableVersion="3" recordCount="0" supportSubquery="1" supportAdvancedDrill="1" xr:uid="{D6939AA0-93B7-4F54-A95D-CDC795945D8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Day of week]" caption="Count of Day of week" numFmtId="0" hierarchy="30"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3240743" backgroundQuery="1" createdVersion="6" refreshedVersion="6" minRefreshableVersion="3" recordCount="0" supportSubquery="1" supportAdvancedDrill="1" xr:uid="{A03F8B0F-D82A-4AC7-BC43-72C063715BBD}">
  <cacheSource type="external" connectionId="1"/>
  <cacheFields count="5">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Day of week]" caption="Count of Day of week" numFmtId="0" hierarchy="30"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4282405" backgroundQuery="1" createdVersion="6" refreshedVersion="6" minRefreshableVersion="3" recordCount="0" supportSubquery="1" supportAdvancedDrill="1" xr:uid="{5B57A975-D82A-4C5A-9BE7-F353896C8B30}">
  <cacheSource type="external" connectionId="1"/>
  <cacheFields count="6">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Measures].[Count of Date of Call]" caption="Count of Date of Call" numFmtId="0" hierarchy="33" level="32767"/>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oneField="1" hidden="1">
      <fieldsUsage count="1">
        <fieldUsage x="5"/>
      </fieldsUsage>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4861113" backgroundQuery="1" createdVersion="6" refreshedVersion="6" minRefreshableVersion="3" recordCount="0" supportSubquery="1" supportAdvancedDrill="1" xr:uid="{EC0A16AF-1138-410E-B5C1-2462E390740E}">
  <cacheSource type="external" connectionId="1"/>
  <cacheFields count="1">
    <cacheField name="[calls].[Representative].[Representative]" caption="Representative" numFmtId="0" hierarchy="3" level="1">
      <sharedItems count="1">
        <s v="R01"/>
      </sharedItems>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6018521" backgroundQuery="1" createdVersion="6" refreshedVersion="6" minRefreshableVersion="3" recordCount="0" supportSubquery="1" supportAdvancedDrill="1" xr:uid="{A734F809-27E2-48DF-A606-95B9B92085D6}">
  <cacheSource type="external" connectionId="1"/>
  <cacheFields count="6">
    <cacheField name="[Measures].[Call Count]" caption="Call Count" numFmtId="0" hierarchy="17" level="32767"/>
    <cacheField name="[Measures].[Call Cost]" caption="Call Cost" numFmtId="0" hierarchy="18" level="32767"/>
    <cacheField name="[Measures].[Total Duration]" caption="Total Duration" numFmtId="0" hierarchy="19" level="32767"/>
    <cacheField name="[Measures].[Average Rating]" caption="Average Rating" numFmtId="0" hierarchy="20" level="32767"/>
    <cacheField name="[Measures].[5*STAR]" caption="5*STAR" numFmtId="0" hierarchy="21" level="32767"/>
    <cacheField name="[calls].[Representative].[Representative]" caption="Representative" numFmtId="0" hierarchy="3" level="1">
      <sharedItems containsSemiMixedTypes="0" containsNonDate="0" containsString="0"/>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Call Cost]" caption="Call Cos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STAR]" caption="5*STA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6.591807175922" backgroundQuery="1" createdVersion="6" refreshedVersion="6" minRefreshableVersion="3" recordCount="0" supportSubquery="1" supportAdvancedDrill="1" xr:uid="{0C571C75-DE5D-4353-8235-D2470E0A3629}">
  <cacheSource type="external" connectionId="1"/>
  <cacheFields count="4">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Day of week]" caption="Count of Day of week" numFmtId="0" hierarchy="30"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3"/>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9.708312268522" backgroundQuery="1" createdVersion="3" refreshedVersion="6" minRefreshableVersion="3" recordCount="0" supportSubquery="1" supportAdvancedDrill="1" xr:uid="{7A537D43-E63A-48B9-9B6B-D925D67FE85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Call Cost]" caption="Call Cos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STAR]" caption="5*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699782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3509A-B56F-4034-A840-D147C23E8574}" name="Gender" cacheId="141" applyNumberFormats="0" applyBorderFormats="0" applyFontFormats="0" applyPatternFormats="0" applyAlignmentFormats="0" applyWidthHeightFormats="1" dataCaption="Values" tag="739855a7-0871-4a9e-ac7e-430d85825cfc" updatedVersion="6" minRefreshableVersion="3" useAutoFormatting="1" subtotalHiddenItems="1" rowGrandTotals="0" colGrandTotals="0" itemPrintTitles="1" createdVersion="6" indent="0" outline="1" outlineData="1" multipleFieldFilters="0" chartFormat="7">
  <location ref="B30:D34" firstHeaderRow="1" firstDataRow="2" firstDataCol="1"/>
  <pivotFields count="5">
    <pivotField allDrilled="1" subtotalTop="0" showAll="0" dataSourceSort="1" defaultSubtotal="0" defaultAttributeDrillState="1"/>
    <pivotField allDrilled="1" subtotalTop="0" showAll="0" sortType="descending" defaultSubtotal="0" defaultAttributeDrillState="1">
      <items count="7">
        <item x="2"/>
        <item x="0"/>
        <item x="4"/>
        <item x="6"/>
        <item x="5"/>
        <item x="1"/>
        <item x="3"/>
      </items>
    </pivotField>
    <pivotField dataField="1" subtotalTop="0" showAll="0" defaultSubtotal="0"/>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3">
        <item x="0"/>
        <item x="1"/>
        <item x="2"/>
      </items>
    </pivotField>
  </pivotFields>
  <rowFields count="1">
    <field x="4"/>
  </rowFields>
  <rowItems count="3">
    <i>
      <x/>
    </i>
    <i>
      <x v="1"/>
    </i>
    <i>
      <x v="2"/>
    </i>
  </rowItems>
  <colFields count="1">
    <field x="3"/>
  </colFields>
  <colItems count="2">
    <i>
      <x/>
    </i>
    <i>
      <x v="1"/>
    </i>
  </colItems>
  <dataFields count="1">
    <dataField name="Count of Day of week" fld="2" subtotal="count"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0"/>
          </reference>
        </references>
      </pivotArea>
    </chartFormat>
    <chartFormat chart="5" format="3"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D5A51-23DD-436E-AD0F-55758C7A809D}" name="Summary Pivot" cacheId="1" applyNumberFormats="0" applyBorderFormats="0" applyFontFormats="0" applyPatternFormats="0" applyAlignmentFormats="0" applyWidthHeightFormats="1" dataCaption="Values" tag="ba00b7f2-369d-467a-8291-5534ca531168" updatedVersion="6" minRefreshableVersion="3" useAutoFormatting="1" itemPrintTitles="1" createdVersion="6"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name="5*Calls" fld="4" subtotal="count" baseField="0" baseItem="0"/>
  </dataField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Renewed - Copy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98ECC-6C4F-40CB-83AD-D9C1BFB35DFE}" name="Verdent" cacheId="147"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location ref="L46:L4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949EB-491E-411B-83E7-E8B40D55F979}" name="PivotTable8" cacheId="0" applyNumberFormats="0" applyBorderFormats="0" applyFontFormats="0" applyPatternFormats="0" applyAlignmentFormats="0" applyWidthHeightFormats="1" dataCaption="Values" tag="739855a7-0871-4a9e-ac7e-430d85825cfc" updatedVersion="6" minRefreshableVersion="3" showDrill="0" useAutoFormatting="1" subtotalHiddenItems="1" rowGrandTotals="0" colGrandTotals="0" itemPrintTitles="1" createdVersion="6" indent="0" outline="1" outlineData="1" multipleFieldFilters="0" chartFormat="11">
  <location ref="G37:I42" firstHeaderRow="0" firstDataRow="1" firstDataCol="1"/>
  <pivotFields count="5">
    <pivotField allDrilled="1" subtotalTop="0" showAll="0" sortType="descending" defaultSubtotal="0" defaultAttributeDrillState="1">
      <items count="7">
        <item x="2"/>
        <item x="0"/>
        <item x="4"/>
        <item x="6"/>
        <item x="5"/>
        <item x="1"/>
        <item x="3"/>
      </items>
    </pivotField>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2"/>
  </rowFields>
  <rowItems count="5">
    <i>
      <x/>
    </i>
    <i>
      <x v="1"/>
    </i>
    <i>
      <x v="2"/>
    </i>
    <i>
      <x v="3"/>
    </i>
    <i>
      <x v="4"/>
    </i>
  </rowItems>
  <colFields count="1">
    <field x="-2"/>
  </colFields>
  <colItems count="2">
    <i>
      <x/>
    </i>
    <i i="1">
      <x v="1"/>
    </i>
  </colItems>
  <dataFields count="2">
    <dataField fld="3" subtotal="count" baseField="0" baseItem="0"/>
    <dataField fld="4"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4F8A12-17A5-48EA-948E-7DB3A9400F6B}" name="weekday count" cacheId="138" applyNumberFormats="0" applyBorderFormats="0" applyFontFormats="0" applyPatternFormats="0" applyAlignmentFormats="0" applyWidthHeightFormats="1" dataCaption="Values" tag="739855a7-0871-4a9e-ac7e-430d85825cfc" updatedVersion="6" minRefreshableVersion="3" useAutoFormatting="1" subtotalHiddenItems="1" rowGrandTotals="0" itemPrintTitles="1" createdVersion="6" indent="0" outline="1" outlineData="1" multipleFieldFilters="0" chartFormat="3">
  <location ref="A12:B19"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7">
    <i>
      <x/>
    </i>
    <i>
      <x v="1"/>
    </i>
    <i>
      <x v="2"/>
    </i>
    <i>
      <x v="3"/>
    </i>
    <i>
      <x v="4"/>
    </i>
    <i>
      <x v="5"/>
    </i>
    <i>
      <x v="6"/>
    </i>
  </rowItems>
  <colItems count="1">
    <i/>
  </colItems>
  <dataFields count="1">
    <dataField name="Count of Day of week"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Renewed - Copy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7E5D0C-F833-447F-AF65-730E50EF27D4}" name="Finale" cacheId="2" applyNumberFormats="0" applyBorderFormats="0" applyFontFormats="0" applyPatternFormats="0" applyAlignmentFormats="0" applyWidthHeightFormats="1" dataCaption="Values" tag="739855a7-0871-4a9e-ac7e-430d85825cfc" updatedVersion="6" minRefreshableVersion="3" showDrill="0" useAutoFormatting="1" subtotalHiddenItems="1" rowGrandTotals="0" colGrandTotals="0" itemPrintTitles="1" createdVersion="6" indent="0" outline="1" outlineData="1" multipleFieldFilters="0" chartFormat="11">
  <location ref="F51:K70" firstHeaderRow="1" firstDataRow="2" firstDataCol="1"/>
  <pivotFields count="6">
    <pivotField allDrilled="1" subtotalTop="0" showAll="0" sortType="descending" defaultSubtotal="0" defaultAttributeDrillState="1">
      <items count="7">
        <item x="2"/>
        <item x="0"/>
        <item x="4"/>
        <item x="6"/>
        <item x="5"/>
        <item x="1"/>
        <item x="3"/>
      </items>
    </pivotField>
    <pivotField allDrilled="1" subtotalTop="0" showAll="0" sortType="descending" defaultSubtotal="0" defaultAttributeDrillState="1">
      <items count="2">
        <item x="1"/>
        <item x="0"/>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s>
  <rowFields count="2">
    <field x="5"/>
    <field x="4"/>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5">
    <i>
      <x/>
    </i>
    <i>
      <x v="1"/>
    </i>
    <i>
      <x v="2"/>
    </i>
    <i>
      <x v="3"/>
    </i>
    <i>
      <x v="4"/>
    </i>
  </colItems>
  <dataFields count="1">
    <dataField fld="3"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DE3233-4893-4FE9-9477-1850863ADF47}" name="Yearly Count" cacheId="144" applyNumberFormats="0" applyBorderFormats="0" applyFontFormats="0" applyPatternFormats="0" applyAlignmentFormats="0" applyWidthHeightFormats="1" dataCaption="Values" tag="739855a7-0871-4a9e-ac7e-430d85825cfc" updatedVersion="6" minRefreshableVersion="3" showDrill="0" useAutoFormatting="1" subtotalHiddenItems="1" rowGrandTotals="0" colGrandTotals="0" itemPrintTitles="1" createdVersion="6" indent="0" outline="1" outlineData="1" multipleFieldFilters="0" chartFormat="14">
  <location ref="B37:D49" firstHeaderRow="0" firstDataRow="1" firstDataCol="1"/>
  <pivotFields count="6">
    <pivotField allDrilled="1" subtotalTop="0" showAll="0" sortType="descending" defaultSubtotal="0" defaultAttributeDrillState="1">
      <items count="7">
        <item x="2"/>
        <item x="0"/>
        <item x="4"/>
        <item x="6"/>
        <item x="5"/>
        <item x="1"/>
        <item x="3"/>
      </items>
    </pivotField>
    <pivotField allDrilled="1" subtotalTop="0" showAll="0" sortType="descending" defaultSubtotal="0" defaultAttributeDrillState="1">
      <items count="2">
        <item x="1"/>
        <item x="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3" subtotal="count" baseField="0" baseItem="0"/>
    <dataField name="Count of Date of Call" fld="5" subtotal="count" baseField="0" baseItem="0"/>
  </dataFields>
  <chartFormats count="7">
    <chartFormat chart="9"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282EF8-8FDD-4C7F-ADE7-1C244C1EC387}" name="Representative" cacheId="150" applyNumberFormats="0" applyBorderFormats="0" applyFontFormats="0" applyPatternFormats="0" applyAlignmentFormats="0" applyWidthHeightFormats="1" dataCaption="Values" tag="739855a7-0871-4a9e-ac7e-430d85825cfc" updatedVersion="6" minRefreshableVersion="3" useAutoFormatting="1" subtotalHiddenItems="1" itemPrintTitles="1" createdVersion="6"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name="5*Calls" fld="4" subtotal="count" baseField="0" baseItem="0"/>
  </dataField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Renewed - Copy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C159DE-F644-4D0C-8B3F-5032704CBEC9}" name="PivotTable1" cacheId="153" applyNumberFormats="0" applyBorderFormats="0" applyFontFormats="0" applyPatternFormats="0" applyAlignmentFormats="0" applyWidthHeightFormats="1" dataCaption="Values" tag="739855a7-0871-4a9e-ac7e-430d85825cfc" updatedVersion="6" minRefreshableVersion="3" useAutoFormatting="1" subtotalHiddenItems="1" rowGrandTotals="0" itemPrintTitles="1" createdVersion="6" indent="0" outline="1" outlineData="1" multipleFieldFilters="0" chartFormat="7">
  <location ref="G14:H19" firstHeaderRow="1" firstDataRow="1" firstDataCol="1"/>
  <pivotFields count="4">
    <pivotField allDrilled="1" subtotalTop="0" showAll="0" dataSourceSort="1" defaultSubtotal="0" defaultAttributeDrillState="1"/>
    <pivotField allDrilled="1" subtotalTop="0" showAll="0" sortType="descending" defaultSubtotal="0" defaultAttributeDrillState="1">
      <items count="7">
        <item x="2"/>
        <item x="0"/>
        <item x="4"/>
        <item x="6"/>
        <item x="5"/>
        <item x="1"/>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dataFields count="1">
    <dataField name="Count of Day of week"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Calls"/>
    <pivotHierarchy dragToRow="0" dragToCol="0" dragToPage="0" dragToData="1"/>
    <pivotHierarchy dragToRow="0" dragToCol="0" dragToPage="0" dragToData="1"/>
    <pivotHierarchy dragToRow="0" dragToCol="0" dragToPage="0" dragToData="1"/>
    <pivotHierarchy dragToData="1" caption="Count"/>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Renewed - Copy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555E4EC-F33D-4D1C-829B-C7E850680B73}" sourceName="[calls].[Representative]">
  <pivotTables>
    <pivotTable tabId="7" name="weekday count"/>
    <pivotTable tabId="7" name="Gender"/>
    <pivotTable tabId="7" name="Yearly Count"/>
    <pivotTable tabId="7" name="Verdent"/>
    <pivotTable tabId="7" name="Representative"/>
    <pivotTable tabId="7" name="PivotTable1"/>
  </pivotTables>
  <data>
    <olap pivotCacheId="186997824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14DC0A8-34FA-4499-99D6-2DDCD41AD05C}" cache="Slicer_Representative" caption="Representative" level="1" rowHeight="241300"/>
  <slicer name="Representative 1" xr10:uid="{EB7857EB-113B-495A-8684-BD74EF08ACE1}" cache="Slicer_Representative" caption="Representativ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 Rep" xr10:uid="{54B2EACC-33BF-4D7E-BA02-48C8C26E7CB9}" cache="Slicer_Representative" caption="Call Rep" level="1"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ustom 2">
      <a:majorFont>
        <a:latin typeface="Arial Black"/>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9" sqref="C9"/>
    </sheetView>
  </sheetViews>
  <sheetFormatPr defaultRowHeight="14.5"/>
  <cols>
    <col min="1" max="1" width="3.54296875" customWidth="1"/>
    <col min="2" max="2" width="14.6328125" customWidth="1"/>
    <col min="3" max="3" width="12.90625" customWidth="1"/>
    <col min="4" max="4" width="16.6328125" customWidth="1"/>
    <col min="5" max="5" width="15.08984375" customWidth="1"/>
    <col min="6" max="6" width="16.1796875" customWidth="1"/>
    <col min="7" max="7" width="17.26953125" customWidth="1"/>
    <col min="8" max="8" width="18.36328125" customWidth="1"/>
    <col min="9" max="9" width="17.26953125" customWidth="1"/>
    <col min="10" max="12" width="15.54296875" customWidth="1"/>
    <col min="13" max="16" width="7.54296875" customWidth="1"/>
    <col min="17" max="17" width="14.6328125" customWidth="1"/>
    <col min="20" max="20" width="10.63281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B08E-D4A8-4D8A-B555-8DB12438B3ED}">
  <dimension ref="A3:P70"/>
  <sheetViews>
    <sheetView tabSelected="1" workbookViewId="0">
      <selection activeCell="Y27" sqref="Y27"/>
    </sheetView>
  </sheetViews>
  <sheetFormatPr defaultRowHeight="14.5"/>
  <cols>
    <col min="1" max="1" width="9.36328125" bestFit="1" customWidth="1"/>
    <col min="2" max="2" width="9.1796875" bestFit="1" customWidth="1"/>
    <col min="3" max="3" width="13.08984375" bestFit="1" customWidth="1"/>
    <col min="4" max="4" width="13.36328125" bestFit="1" customWidth="1"/>
    <col min="5" max="5" width="6.6328125" bestFit="1" customWidth="1"/>
    <col min="6" max="7" width="12.36328125" bestFit="1" customWidth="1"/>
    <col min="8" max="8" width="19" bestFit="1" customWidth="1"/>
    <col min="9" max="11" width="8.1796875" bestFit="1" customWidth="1"/>
    <col min="12" max="12" width="12.36328125" bestFit="1" customWidth="1"/>
    <col min="13" max="16" width="8.1796875" bestFit="1" customWidth="1"/>
  </cols>
  <sheetData>
    <row r="3" spans="1:8">
      <c r="A3" t="s">
        <v>1042</v>
      </c>
      <c r="B3" t="s">
        <v>1043</v>
      </c>
      <c r="C3" t="s">
        <v>1044</v>
      </c>
      <c r="D3" t="s">
        <v>1045</v>
      </c>
      <c r="E3" t="s">
        <v>1046</v>
      </c>
    </row>
    <row r="4" spans="1:8">
      <c r="A4" s="23">
        <v>1000</v>
      </c>
      <c r="B4" s="26">
        <v>96623</v>
      </c>
      <c r="C4" s="23">
        <v>89850</v>
      </c>
      <c r="D4" s="21">
        <v>3.964</v>
      </c>
      <c r="E4" s="20">
        <v>307</v>
      </c>
    </row>
    <row r="8" spans="1:8">
      <c r="A8" t="s">
        <v>1042</v>
      </c>
      <c r="B8" t="s">
        <v>1043</v>
      </c>
      <c r="C8" t="s">
        <v>1044</v>
      </c>
      <c r="D8" t="s">
        <v>1045</v>
      </c>
      <c r="E8" t="s">
        <v>1046</v>
      </c>
    </row>
    <row r="9" spans="1:8">
      <c r="A9" s="23">
        <v>189</v>
      </c>
      <c r="B9" s="39">
        <v>18415</v>
      </c>
      <c r="C9" s="23">
        <v>16834</v>
      </c>
      <c r="D9" s="21">
        <v>4.0423280423280428</v>
      </c>
      <c r="E9" s="20">
        <v>60</v>
      </c>
    </row>
    <row r="12" spans="1:8">
      <c r="A12" s="24" t="s">
        <v>1048</v>
      </c>
      <c r="B12" t="s">
        <v>1047</v>
      </c>
    </row>
    <row r="13" spans="1:8">
      <c r="A13" s="25" t="s">
        <v>1051</v>
      </c>
      <c r="B13" s="20">
        <v>40</v>
      </c>
    </row>
    <row r="14" spans="1:8">
      <c r="A14" s="25" t="s">
        <v>1049</v>
      </c>
      <c r="B14" s="20">
        <v>24</v>
      </c>
      <c r="G14" s="24" t="s">
        <v>1048</v>
      </c>
      <c r="H14" t="s">
        <v>1047</v>
      </c>
    </row>
    <row r="15" spans="1:8">
      <c r="A15" s="25" t="s">
        <v>1053</v>
      </c>
      <c r="B15" s="20">
        <v>23</v>
      </c>
      <c r="G15" s="25">
        <v>1</v>
      </c>
      <c r="H15" s="20">
        <v>1</v>
      </c>
    </row>
    <row r="16" spans="1:8">
      <c r="A16" s="25" t="s">
        <v>1055</v>
      </c>
      <c r="B16" s="20">
        <v>23</v>
      </c>
      <c r="G16" s="25">
        <v>2</v>
      </c>
      <c r="H16" s="20">
        <v>9</v>
      </c>
    </row>
    <row r="17" spans="1:8">
      <c r="A17" s="25" t="s">
        <v>1054</v>
      </c>
      <c r="B17" s="20">
        <v>13</v>
      </c>
      <c r="G17" s="25">
        <v>3</v>
      </c>
      <c r="H17" s="20">
        <v>31</v>
      </c>
    </row>
    <row r="18" spans="1:8">
      <c r="A18" s="25" t="s">
        <v>1050</v>
      </c>
      <c r="B18" s="20">
        <v>30</v>
      </c>
      <c r="G18" s="25">
        <v>4</v>
      </c>
      <c r="H18" s="20">
        <v>88</v>
      </c>
    </row>
    <row r="19" spans="1:8">
      <c r="A19" s="25" t="s">
        <v>1052</v>
      </c>
      <c r="B19" s="20">
        <v>36</v>
      </c>
      <c r="G19" s="25">
        <v>5</v>
      </c>
      <c r="H19" s="20">
        <v>60</v>
      </c>
    </row>
    <row r="30" spans="1:8">
      <c r="B30" s="24" t="s">
        <v>1047</v>
      </c>
      <c r="C30" s="24" t="s">
        <v>1056</v>
      </c>
    </row>
    <row r="31" spans="1:8">
      <c r="B31" s="24" t="s">
        <v>1048</v>
      </c>
      <c r="C31" t="s">
        <v>998</v>
      </c>
      <c r="D31" t="s">
        <v>999</v>
      </c>
    </row>
    <row r="32" spans="1:8">
      <c r="B32" s="25" t="s">
        <v>1002</v>
      </c>
      <c r="C32" s="20">
        <v>26</v>
      </c>
      <c r="D32" s="20">
        <v>30</v>
      </c>
    </row>
    <row r="33" spans="2:16">
      <c r="B33" s="25" t="s">
        <v>1001</v>
      </c>
      <c r="C33" s="20">
        <v>13</v>
      </c>
      <c r="D33" s="20">
        <v>57</v>
      </c>
    </row>
    <row r="34" spans="2:16">
      <c r="B34" s="25" t="s">
        <v>1000</v>
      </c>
      <c r="C34" s="20">
        <v>34</v>
      </c>
      <c r="D34" s="20">
        <v>29</v>
      </c>
    </row>
    <row r="36" spans="2:16">
      <c r="O36" t="str">
        <f>L47</f>
        <v>R01</v>
      </c>
      <c r="P36" t="str">
        <f>L47</f>
        <v>R01</v>
      </c>
    </row>
    <row r="37" spans="2:16">
      <c r="B37" s="24" t="s">
        <v>1048</v>
      </c>
      <c r="C37" t="s">
        <v>1042</v>
      </c>
      <c r="D37" t="s">
        <v>1074</v>
      </c>
      <c r="G37" s="24" t="s">
        <v>1048</v>
      </c>
      <c r="H37" t="s">
        <v>1042</v>
      </c>
      <c r="I37" t="s">
        <v>1043</v>
      </c>
      <c r="J37" s="24"/>
      <c r="K37" s="24"/>
      <c r="L37" s="24" t="s">
        <v>1070</v>
      </c>
      <c r="M37" s="24" t="s">
        <v>1071</v>
      </c>
      <c r="N37" s="24" t="s">
        <v>1072</v>
      </c>
      <c r="O37" s="24" t="s">
        <v>1069</v>
      </c>
      <c r="P37" s="24" t="s">
        <v>1073</v>
      </c>
    </row>
    <row r="38" spans="2:16">
      <c r="B38" s="25" t="s">
        <v>1057</v>
      </c>
      <c r="C38" s="23">
        <v>16</v>
      </c>
      <c r="D38" s="20">
        <v>16</v>
      </c>
      <c r="G38" s="25" t="s">
        <v>11</v>
      </c>
      <c r="H38" s="23">
        <v>189</v>
      </c>
      <c r="I38" s="26">
        <v>18415</v>
      </c>
      <c r="L38" t="str">
        <f>G38</f>
        <v>R01</v>
      </c>
      <c r="M38">
        <f t="shared" ref="M38:N38" si="0">H38</f>
        <v>189</v>
      </c>
      <c r="N38" s="29">
        <f t="shared" si="0"/>
        <v>18415</v>
      </c>
      <c r="O38">
        <f>IF(L38=$O$36,M38,"Null")</f>
        <v>189</v>
      </c>
      <c r="P38" s="27">
        <f>IF(L38=$P$36,N38,"Null")</f>
        <v>18415</v>
      </c>
    </row>
    <row r="39" spans="2:16">
      <c r="B39" s="25" t="s">
        <v>1058</v>
      </c>
      <c r="C39" s="23">
        <v>14</v>
      </c>
      <c r="D39" s="20">
        <v>14</v>
      </c>
      <c r="G39" s="25" t="s">
        <v>9</v>
      </c>
      <c r="H39" s="23">
        <v>218</v>
      </c>
      <c r="I39" s="26">
        <v>20581</v>
      </c>
      <c r="L39" t="str">
        <f t="shared" ref="L39:L42" si="1">G39</f>
        <v>R02</v>
      </c>
      <c r="M39">
        <f t="shared" ref="M39:M42" si="2">H39</f>
        <v>218</v>
      </c>
      <c r="N39" s="29">
        <f t="shared" ref="N39:N42" si="3">I39</f>
        <v>20581</v>
      </c>
      <c r="O39" t="str">
        <f t="shared" ref="O39:O42" si="4">IF(L39=$O$36,M39,"Null")</f>
        <v>Null</v>
      </c>
      <c r="P39" s="27" t="str">
        <f t="shared" ref="P39:P42" si="5">IF(L39=$P$36,N39,"Null")</f>
        <v>Null</v>
      </c>
    </row>
    <row r="40" spans="2:16">
      <c r="B40" s="25" t="s">
        <v>1059</v>
      </c>
      <c r="C40" s="23">
        <v>26</v>
      </c>
      <c r="D40" s="20">
        <v>26</v>
      </c>
      <c r="G40" s="25" t="s">
        <v>6</v>
      </c>
      <c r="H40" s="23">
        <v>207</v>
      </c>
      <c r="I40" s="26">
        <v>20872</v>
      </c>
      <c r="L40" t="str">
        <f t="shared" si="1"/>
        <v>R03</v>
      </c>
      <c r="M40">
        <f t="shared" si="2"/>
        <v>207</v>
      </c>
      <c r="N40" s="29">
        <f t="shared" si="3"/>
        <v>20872</v>
      </c>
      <c r="O40" t="str">
        <f t="shared" si="4"/>
        <v>Null</v>
      </c>
      <c r="P40" s="27" t="str">
        <f t="shared" si="5"/>
        <v>Null</v>
      </c>
    </row>
    <row r="41" spans="2:16">
      <c r="B41" s="25" t="s">
        <v>1060</v>
      </c>
      <c r="C41" s="23">
        <v>29</v>
      </c>
      <c r="D41" s="20">
        <v>29</v>
      </c>
      <c r="G41" s="25" t="s">
        <v>13</v>
      </c>
      <c r="H41" s="23">
        <v>186</v>
      </c>
      <c r="I41" s="26">
        <v>16651</v>
      </c>
      <c r="L41" t="str">
        <f t="shared" si="1"/>
        <v>R04</v>
      </c>
      <c r="M41">
        <f t="shared" si="2"/>
        <v>186</v>
      </c>
      <c r="N41" s="29">
        <f t="shared" si="3"/>
        <v>16651</v>
      </c>
      <c r="O41" t="str">
        <f t="shared" si="4"/>
        <v>Null</v>
      </c>
      <c r="P41" s="27" t="str">
        <f t="shared" si="5"/>
        <v>Null</v>
      </c>
    </row>
    <row r="42" spans="2:16">
      <c r="B42" s="25" t="s">
        <v>1061</v>
      </c>
      <c r="C42" s="23">
        <v>17</v>
      </c>
      <c r="D42" s="20">
        <v>17</v>
      </c>
      <c r="G42" s="25" t="s">
        <v>10</v>
      </c>
      <c r="H42" s="23">
        <v>200</v>
      </c>
      <c r="I42" s="26">
        <v>20104</v>
      </c>
      <c r="L42" t="str">
        <f t="shared" si="1"/>
        <v>R05</v>
      </c>
      <c r="M42">
        <f t="shared" si="2"/>
        <v>200</v>
      </c>
      <c r="N42" s="29">
        <f t="shared" si="3"/>
        <v>20104</v>
      </c>
      <c r="O42" t="str">
        <f t="shared" si="4"/>
        <v>Null</v>
      </c>
      <c r="P42" s="27" t="str">
        <f t="shared" si="5"/>
        <v>Null</v>
      </c>
    </row>
    <row r="43" spans="2:16">
      <c r="B43" s="25" t="s">
        <v>1062</v>
      </c>
      <c r="C43" s="23">
        <v>15</v>
      </c>
      <c r="D43" s="20">
        <v>15</v>
      </c>
    </row>
    <row r="44" spans="2:16">
      <c r="B44" s="25" t="s">
        <v>1063</v>
      </c>
      <c r="C44" s="23">
        <v>15</v>
      </c>
      <c r="D44" s="20">
        <v>15</v>
      </c>
    </row>
    <row r="45" spans="2:16">
      <c r="B45" s="25" t="s">
        <v>1064</v>
      </c>
      <c r="C45" s="23">
        <v>7</v>
      </c>
      <c r="D45" s="20">
        <v>7</v>
      </c>
      <c r="L45" s="24"/>
      <c r="M45" s="24"/>
      <c r="N45" s="24"/>
      <c r="O45" s="24"/>
      <c r="P45" s="24"/>
    </row>
    <row r="46" spans="2:16">
      <c r="B46" s="25" t="s">
        <v>1065</v>
      </c>
      <c r="C46" s="23">
        <v>11</v>
      </c>
      <c r="D46" s="20">
        <v>11</v>
      </c>
      <c r="L46" s="24" t="s">
        <v>1048</v>
      </c>
    </row>
    <row r="47" spans="2:16">
      <c r="B47" s="25" t="s">
        <v>1066</v>
      </c>
      <c r="C47" s="23">
        <v>24</v>
      </c>
      <c r="D47" s="20">
        <v>24</v>
      </c>
      <c r="L47" s="28" t="s">
        <v>11</v>
      </c>
    </row>
    <row r="48" spans="2:16">
      <c r="B48" s="25" t="s">
        <v>1067</v>
      </c>
      <c r="C48" s="23">
        <v>9</v>
      </c>
      <c r="D48" s="20">
        <v>9</v>
      </c>
    </row>
    <row r="49" spans="2:11">
      <c r="B49" s="25" t="s">
        <v>1068</v>
      </c>
      <c r="C49" s="23">
        <v>6</v>
      </c>
      <c r="D49" s="20">
        <v>6</v>
      </c>
    </row>
    <row r="51" spans="2:11">
      <c r="F51" s="24" t="s">
        <v>1043</v>
      </c>
      <c r="G51" s="24" t="s">
        <v>1056</v>
      </c>
    </row>
    <row r="52" spans="2:11">
      <c r="F52" s="24" t="s">
        <v>1048</v>
      </c>
      <c r="G52" t="s">
        <v>11</v>
      </c>
      <c r="H52" t="s">
        <v>9</v>
      </c>
      <c r="I52" t="s">
        <v>6</v>
      </c>
      <c r="J52" t="s">
        <v>13</v>
      </c>
      <c r="K52" t="s">
        <v>10</v>
      </c>
    </row>
    <row r="53" spans="2:11">
      <c r="F53" s="25" t="s">
        <v>1002</v>
      </c>
      <c r="G53" s="20"/>
      <c r="H53" s="20"/>
      <c r="I53" s="20"/>
      <c r="J53" s="20"/>
      <c r="K53" s="20"/>
    </row>
    <row r="54" spans="2:11">
      <c r="F54" s="31" t="s">
        <v>20</v>
      </c>
      <c r="G54" s="30">
        <v>891</v>
      </c>
      <c r="H54" s="30">
        <v>1332</v>
      </c>
      <c r="I54" s="30">
        <v>1282</v>
      </c>
      <c r="J54" s="30">
        <v>739</v>
      </c>
      <c r="K54" s="30">
        <v>560</v>
      </c>
    </row>
    <row r="55" spans="2:11">
      <c r="F55" s="31" t="s">
        <v>12</v>
      </c>
      <c r="G55" s="30">
        <v>1991</v>
      </c>
      <c r="H55" s="30">
        <v>1886</v>
      </c>
      <c r="I55" s="30">
        <v>1206</v>
      </c>
      <c r="J55" s="30">
        <v>884</v>
      </c>
      <c r="K55" s="30">
        <v>1722</v>
      </c>
    </row>
    <row r="56" spans="2:11">
      <c r="F56" s="31" t="s">
        <v>8</v>
      </c>
      <c r="G56" s="30">
        <v>1163</v>
      </c>
      <c r="H56" s="30">
        <v>1180</v>
      </c>
      <c r="I56" s="30">
        <v>1616</v>
      </c>
      <c r="J56" s="30">
        <v>1043</v>
      </c>
      <c r="K56" s="30">
        <v>1747</v>
      </c>
    </row>
    <row r="57" spans="2:11">
      <c r="F57" s="31" t="s">
        <v>16</v>
      </c>
      <c r="G57" s="30">
        <v>1438</v>
      </c>
      <c r="H57" s="30">
        <v>1616</v>
      </c>
      <c r="I57" s="30">
        <v>866</v>
      </c>
      <c r="J57" s="30">
        <v>829</v>
      </c>
      <c r="K57" s="30">
        <v>2070</v>
      </c>
    </row>
    <row r="58" spans="2:11">
      <c r="F58" s="25" t="s">
        <v>1001</v>
      </c>
      <c r="G58" s="20"/>
      <c r="H58" s="20"/>
      <c r="I58" s="20"/>
      <c r="J58" s="20"/>
      <c r="K58" s="20"/>
    </row>
    <row r="59" spans="2:11">
      <c r="F59" s="31" t="s">
        <v>24</v>
      </c>
      <c r="G59" s="30">
        <v>1233</v>
      </c>
      <c r="H59" s="30">
        <v>223</v>
      </c>
      <c r="I59" s="30">
        <v>1680</v>
      </c>
      <c r="J59" s="30">
        <v>990</v>
      </c>
      <c r="K59" s="30">
        <v>1508</v>
      </c>
    </row>
    <row r="60" spans="2:11">
      <c r="F60" s="31" t="s">
        <v>15</v>
      </c>
      <c r="G60" s="30">
        <v>1598</v>
      </c>
      <c r="H60" s="30">
        <v>1907</v>
      </c>
      <c r="I60" s="30">
        <v>869</v>
      </c>
      <c r="J60" s="30">
        <v>1426</v>
      </c>
      <c r="K60" s="30">
        <v>1416</v>
      </c>
    </row>
    <row r="61" spans="2:11">
      <c r="F61" s="31" t="s">
        <v>5</v>
      </c>
      <c r="G61" s="30">
        <v>900</v>
      </c>
      <c r="H61" s="30">
        <v>1016</v>
      </c>
      <c r="I61" s="30">
        <v>960</v>
      </c>
      <c r="J61" s="30">
        <v>940</v>
      </c>
      <c r="K61" s="30">
        <v>1193</v>
      </c>
    </row>
    <row r="62" spans="2:11">
      <c r="F62" s="31" t="s">
        <v>18</v>
      </c>
      <c r="G62" s="30">
        <v>900</v>
      </c>
      <c r="H62" s="30">
        <v>1470</v>
      </c>
      <c r="I62" s="30">
        <v>1617</v>
      </c>
      <c r="J62" s="30">
        <v>1314</v>
      </c>
      <c r="K62" s="30">
        <v>941</v>
      </c>
    </row>
    <row r="63" spans="2:11">
      <c r="F63" s="31" t="s">
        <v>14</v>
      </c>
      <c r="G63" s="30">
        <v>1255</v>
      </c>
      <c r="H63" s="30">
        <v>516</v>
      </c>
      <c r="I63" s="30">
        <v>1874</v>
      </c>
      <c r="J63" s="30">
        <v>1863</v>
      </c>
      <c r="K63" s="30">
        <v>1722</v>
      </c>
    </row>
    <row r="64" spans="2:11">
      <c r="F64" s="31" t="s">
        <v>19</v>
      </c>
      <c r="G64" s="30">
        <v>1138</v>
      </c>
      <c r="H64" s="30">
        <v>1898</v>
      </c>
      <c r="I64" s="30">
        <v>1482</v>
      </c>
      <c r="J64" s="30">
        <v>846</v>
      </c>
      <c r="K64" s="30">
        <v>1154</v>
      </c>
    </row>
    <row r="65" spans="6:11">
      <c r="F65" s="25" t="s">
        <v>1000</v>
      </c>
      <c r="G65" s="20"/>
      <c r="H65" s="20"/>
      <c r="I65" s="20"/>
      <c r="J65" s="20"/>
      <c r="K65" s="20"/>
    </row>
    <row r="66" spans="6:11">
      <c r="F66" s="31" t="s">
        <v>17</v>
      </c>
      <c r="G66" s="30">
        <v>1655</v>
      </c>
      <c r="H66" s="30">
        <v>805</v>
      </c>
      <c r="I66" s="30">
        <v>2263</v>
      </c>
      <c r="J66" s="30">
        <v>987</v>
      </c>
      <c r="K66" s="30">
        <v>1075</v>
      </c>
    </row>
    <row r="67" spans="6:11">
      <c r="F67" s="31" t="s">
        <v>23</v>
      </c>
      <c r="G67" s="30">
        <v>1104</v>
      </c>
      <c r="H67" s="30">
        <v>2280</v>
      </c>
      <c r="I67" s="30">
        <v>1445</v>
      </c>
      <c r="J67" s="30">
        <v>1722</v>
      </c>
      <c r="K67" s="30">
        <v>1196</v>
      </c>
    </row>
    <row r="68" spans="6:11">
      <c r="F68" s="31" t="s">
        <v>7</v>
      </c>
      <c r="G68" s="30">
        <v>372</v>
      </c>
      <c r="H68" s="30">
        <v>1818</v>
      </c>
      <c r="I68" s="30">
        <v>1346</v>
      </c>
      <c r="J68" s="30">
        <v>1156</v>
      </c>
      <c r="K68" s="30">
        <v>1484</v>
      </c>
    </row>
    <row r="69" spans="6:11">
      <c r="F69" s="31" t="s">
        <v>22</v>
      </c>
      <c r="G69" s="30">
        <v>1415</v>
      </c>
      <c r="H69" s="30">
        <v>1271</v>
      </c>
      <c r="I69" s="30">
        <v>1214</v>
      </c>
      <c r="J69" s="30">
        <v>1135</v>
      </c>
      <c r="K69" s="30">
        <v>1566</v>
      </c>
    </row>
    <row r="70" spans="6:11">
      <c r="F70" s="31" t="s">
        <v>21</v>
      </c>
      <c r="G70" s="30">
        <v>1362</v>
      </c>
      <c r="H70" s="30">
        <v>1363</v>
      </c>
      <c r="I70" s="30">
        <v>1152</v>
      </c>
      <c r="J70" s="30">
        <v>777</v>
      </c>
      <c r="K70" s="30">
        <v>750</v>
      </c>
    </row>
  </sheetData>
  <sortState ref="J49:J52">
    <sortCondition ref="J48"/>
  </sortState>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F9EB-EB26-4858-9DDD-05DE9E5DF42B}">
  <dimension ref="AR2:AX32"/>
  <sheetViews>
    <sheetView zoomScale="80" zoomScaleNormal="80" workbookViewId="0">
      <selection activeCell="AZ16" sqref="AZ16"/>
    </sheetView>
  </sheetViews>
  <sheetFormatPr defaultColWidth="2.7265625" defaultRowHeight="14.5"/>
  <cols>
    <col min="1" max="43" width="2.7265625" style="22"/>
    <col min="44" max="44" width="16.1796875" style="22" customWidth="1"/>
    <col min="45" max="45" width="12.26953125" style="33" customWidth="1"/>
    <col min="46" max="46" width="10.453125" style="33" customWidth="1"/>
    <col min="47" max="47" width="11" style="33" customWidth="1"/>
    <col min="48" max="48" width="9.81640625" style="33" customWidth="1"/>
    <col min="49" max="49" width="11.453125" style="33" customWidth="1"/>
    <col min="50" max="50" width="6.54296875" style="22" customWidth="1"/>
    <col min="51" max="51" width="6.26953125" style="22" customWidth="1"/>
    <col min="52" max="52" width="9.453125" style="22" customWidth="1"/>
    <col min="53" max="16384" width="2.7265625" style="22"/>
  </cols>
  <sheetData>
    <row r="2" spans="44:49" ht="17">
      <c r="AR2" s="36" t="s">
        <v>0</v>
      </c>
      <c r="AS2" s="37" t="s">
        <v>1075</v>
      </c>
      <c r="AT2" s="38"/>
      <c r="AU2" s="38"/>
      <c r="AV2" s="38"/>
      <c r="AW2" s="38"/>
    </row>
    <row r="3" spans="44:49">
      <c r="AR3" s="32" t="str">
        <f>'Pivot table'!F53</f>
        <v>Cincinnati</v>
      </c>
      <c r="AS3" s="34" t="str">
        <f>'Pivot table'!G52</f>
        <v>R01</v>
      </c>
      <c r="AT3" s="34" t="str">
        <f>'Pivot table'!H52</f>
        <v>R02</v>
      </c>
      <c r="AU3" s="34" t="str">
        <f>'Pivot table'!I52</f>
        <v>R03</v>
      </c>
      <c r="AV3" s="34" t="str">
        <f>'Pivot table'!J52</f>
        <v>R04</v>
      </c>
      <c r="AW3" s="34" t="str">
        <f>'Pivot table'!K52</f>
        <v>R05</v>
      </c>
    </row>
    <row r="4" spans="44:49">
      <c r="AR4" s="22" t="str">
        <f>'Pivot table'!F54</f>
        <v>C0003</v>
      </c>
      <c r="AS4" s="35">
        <f>'Pivot table'!G54</f>
        <v>891</v>
      </c>
      <c r="AT4" s="35">
        <f>'Pivot table'!H54</f>
        <v>1332</v>
      </c>
      <c r="AU4" s="35">
        <f>'Pivot table'!I54</f>
        <v>1282</v>
      </c>
      <c r="AV4" s="35">
        <f>'Pivot table'!J54</f>
        <v>739</v>
      </c>
      <c r="AW4" s="35">
        <f>'Pivot table'!K54</f>
        <v>560</v>
      </c>
    </row>
    <row r="5" spans="44:49">
      <c r="AR5" s="22" t="str">
        <f>'Pivot table'!F55</f>
        <v>C0004</v>
      </c>
      <c r="AS5" s="35">
        <f>'Pivot table'!G55</f>
        <v>1991</v>
      </c>
      <c r="AT5" s="35">
        <f>'Pivot table'!H55</f>
        <v>1886</v>
      </c>
      <c r="AU5" s="35">
        <f>'Pivot table'!I55</f>
        <v>1206</v>
      </c>
      <c r="AV5" s="35">
        <f>'Pivot table'!J55</f>
        <v>884</v>
      </c>
      <c r="AW5" s="35">
        <f>'Pivot table'!K55</f>
        <v>1722</v>
      </c>
    </row>
    <row r="6" spans="44:49">
      <c r="AR6" s="22" t="str">
        <f>'Pivot table'!F56</f>
        <v>C0011</v>
      </c>
      <c r="AS6" s="35">
        <f>'Pivot table'!G56</f>
        <v>1163</v>
      </c>
      <c r="AT6" s="35">
        <f>'Pivot table'!H56</f>
        <v>1180</v>
      </c>
      <c r="AU6" s="35">
        <f>'Pivot table'!I56</f>
        <v>1616</v>
      </c>
      <c r="AV6" s="35">
        <f>'Pivot table'!J56</f>
        <v>1043</v>
      </c>
      <c r="AW6" s="35">
        <f>'Pivot table'!K56</f>
        <v>1747</v>
      </c>
    </row>
    <row r="7" spans="44:49">
      <c r="AR7" s="22" t="str">
        <f>'Pivot table'!F57</f>
        <v>C0012</v>
      </c>
      <c r="AS7" s="35">
        <f>'Pivot table'!G57</f>
        <v>1438</v>
      </c>
      <c r="AT7" s="35">
        <f>'Pivot table'!H57</f>
        <v>1616</v>
      </c>
      <c r="AU7" s="35">
        <f>'Pivot table'!I57</f>
        <v>866</v>
      </c>
      <c r="AV7" s="35">
        <f>'Pivot table'!J57</f>
        <v>829</v>
      </c>
      <c r="AW7" s="35">
        <f>'Pivot table'!K57</f>
        <v>2070</v>
      </c>
    </row>
    <row r="8" spans="44:49">
      <c r="AR8" s="32" t="str">
        <f>'Pivot table'!F58</f>
        <v>Cleveland</v>
      </c>
      <c r="AS8" s="35"/>
      <c r="AT8" s="35"/>
      <c r="AU8" s="35"/>
      <c r="AV8" s="35"/>
      <c r="AW8" s="35"/>
    </row>
    <row r="9" spans="44:49">
      <c r="AR9" s="22" t="str">
        <f>'Pivot table'!F59</f>
        <v>C0002</v>
      </c>
      <c r="AS9" s="35">
        <f>'Pivot table'!G59</f>
        <v>1233</v>
      </c>
      <c r="AT9" s="35">
        <f>'Pivot table'!H59</f>
        <v>223</v>
      </c>
      <c r="AU9" s="35">
        <f>'Pivot table'!I59</f>
        <v>1680</v>
      </c>
      <c r="AV9" s="35">
        <f>'Pivot table'!J59</f>
        <v>990</v>
      </c>
      <c r="AW9" s="35">
        <f>'Pivot table'!K59</f>
        <v>1508</v>
      </c>
    </row>
    <row r="10" spans="44:49">
      <c r="AR10" s="22" t="str">
        <f>'Pivot table'!F60</f>
        <v>C0007</v>
      </c>
      <c r="AS10" s="35">
        <f>'Pivot table'!G60</f>
        <v>1598</v>
      </c>
      <c r="AT10" s="35">
        <f>'Pivot table'!H60</f>
        <v>1907</v>
      </c>
      <c r="AU10" s="35">
        <f>'Pivot table'!I60</f>
        <v>869</v>
      </c>
      <c r="AV10" s="35">
        <f>'Pivot table'!J60</f>
        <v>1426</v>
      </c>
      <c r="AW10" s="35">
        <f>'Pivot table'!K60</f>
        <v>1416</v>
      </c>
    </row>
    <row r="11" spans="44:49">
      <c r="AR11" s="22" t="str">
        <f>'Pivot table'!F61</f>
        <v>C0008</v>
      </c>
      <c r="AS11" s="35">
        <f>'Pivot table'!G61</f>
        <v>900</v>
      </c>
      <c r="AT11" s="35">
        <f>'Pivot table'!H61</f>
        <v>1016</v>
      </c>
      <c r="AU11" s="35">
        <f>'Pivot table'!I61</f>
        <v>960</v>
      </c>
      <c r="AV11" s="35">
        <f>'Pivot table'!J61</f>
        <v>940</v>
      </c>
      <c r="AW11" s="35">
        <f>'Pivot table'!K61</f>
        <v>1193</v>
      </c>
    </row>
    <row r="12" spans="44:49">
      <c r="AR12" s="22" t="str">
        <f>'Pivot table'!F62</f>
        <v>C0010</v>
      </c>
      <c r="AS12" s="35">
        <f>'Pivot table'!G62</f>
        <v>900</v>
      </c>
      <c r="AT12" s="35">
        <f>'Pivot table'!H62</f>
        <v>1470</v>
      </c>
      <c r="AU12" s="35">
        <f>'Pivot table'!I62</f>
        <v>1617</v>
      </c>
      <c r="AV12" s="35">
        <f>'Pivot table'!J62</f>
        <v>1314</v>
      </c>
      <c r="AW12" s="35">
        <f>'Pivot table'!K62</f>
        <v>941</v>
      </c>
    </row>
    <row r="13" spans="44:49">
      <c r="AR13" s="22" t="str">
        <f>'Pivot table'!F63</f>
        <v>C0013</v>
      </c>
      <c r="AS13" s="35">
        <f>'Pivot table'!G63</f>
        <v>1255</v>
      </c>
      <c r="AT13" s="35">
        <f>'Pivot table'!H63</f>
        <v>516</v>
      </c>
      <c r="AU13" s="35">
        <f>'Pivot table'!I63</f>
        <v>1874</v>
      </c>
      <c r="AV13" s="35">
        <f>'Pivot table'!J63</f>
        <v>1863</v>
      </c>
      <c r="AW13" s="35">
        <f>'Pivot table'!K63</f>
        <v>1722</v>
      </c>
    </row>
    <row r="14" spans="44:49">
      <c r="AR14" s="22" t="str">
        <f>'Pivot table'!F64</f>
        <v>C0015</v>
      </c>
      <c r="AS14" s="35">
        <f>'Pivot table'!G64</f>
        <v>1138</v>
      </c>
      <c r="AT14" s="35">
        <f>'Pivot table'!H64</f>
        <v>1898</v>
      </c>
      <c r="AU14" s="35">
        <f>'Pivot table'!I64</f>
        <v>1482</v>
      </c>
      <c r="AV14" s="35">
        <f>'Pivot table'!J64</f>
        <v>846</v>
      </c>
      <c r="AW14" s="35">
        <f>'Pivot table'!K64</f>
        <v>1154</v>
      </c>
    </row>
    <row r="15" spans="44:49">
      <c r="AR15" s="32" t="str">
        <f>'Pivot table'!F65</f>
        <v>Columbus</v>
      </c>
      <c r="AS15" s="35"/>
      <c r="AT15" s="35"/>
      <c r="AU15" s="35"/>
      <c r="AV15" s="35"/>
      <c r="AW15" s="35"/>
    </row>
    <row r="16" spans="44:49">
      <c r="AR16" s="22" t="str">
        <f>'Pivot table'!F66</f>
        <v>C0001</v>
      </c>
      <c r="AS16" s="35">
        <f>'Pivot table'!G66</f>
        <v>1655</v>
      </c>
      <c r="AT16" s="35">
        <f>'Pivot table'!H66</f>
        <v>805</v>
      </c>
      <c r="AU16" s="35">
        <f>'Pivot table'!I66</f>
        <v>2263</v>
      </c>
      <c r="AV16" s="35">
        <f>'Pivot table'!J66</f>
        <v>987</v>
      </c>
      <c r="AW16" s="35">
        <f>'Pivot table'!K66</f>
        <v>1075</v>
      </c>
    </row>
    <row r="17" spans="44:50">
      <c r="AR17" s="22" t="str">
        <f>'Pivot table'!F67</f>
        <v>C0005</v>
      </c>
      <c r="AS17" s="35">
        <f>'Pivot table'!G67</f>
        <v>1104</v>
      </c>
      <c r="AT17" s="35">
        <f>'Pivot table'!H67</f>
        <v>2280</v>
      </c>
      <c r="AU17" s="35">
        <f>'Pivot table'!I67</f>
        <v>1445</v>
      </c>
      <c r="AV17" s="35">
        <f>'Pivot table'!J67</f>
        <v>1722</v>
      </c>
      <c r="AW17" s="35">
        <f>'Pivot table'!K67</f>
        <v>1196</v>
      </c>
    </row>
    <row r="18" spans="44:50">
      <c r="AR18" s="22" t="str">
        <f>'Pivot table'!F68</f>
        <v>C0006</v>
      </c>
      <c r="AS18" s="35">
        <f>'Pivot table'!G68</f>
        <v>372</v>
      </c>
      <c r="AT18" s="35">
        <f>'Pivot table'!H68</f>
        <v>1818</v>
      </c>
      <c r="AU18" s="35">
        <f>'Pivot table'!I68</f>
        <v>1346</v>
      </c>
      <c r="AV18" s="35">
        <f>'Pivot table'!J68</f>
        <v>1156</v>
      </c>
      <c r="AW18" s="35">
        <f>'Pivot table'!K68</f>
        <v>1484</v>
      </c>
    </row>
    <row r="19" spans="44:50">
      <c r="AR19" s="22" t="str">
        <f>'Pivot table'!F69</f>
        <v>C0009</v>
      </c>
      <c r="AS19" s="35">
        <f>'Pivot table'!G69</f>
        <v>1415</v>
      </c>
      <c r="AT19" s="35">
        <f>'Pivot table'!H69</f>
        <v>1271</v>
      </c>
      <c r="AU19" s="35">
        <f>'Pivot table'!I69</f>
        <v>1214</v>
      </c>
      <c r="AV19" s="35">
        <f>'Pivot table'!J69</f>
        <v>1135</v>
      </c>
      <c r="AW19" s="35">
        <f>'Pivot table'!K69</f>
        <v>1566</v>
      </c>
    </row>
    <row r="20" spans="44:50">
      <c r="AR20" s="22" t="str">
        <f>'Pivot table'!F70</f>
        <v>C0014</v>
      </c>
      <c r="AS20" s="35">
        <f>'Pivot table'!G70</f>
        <v>1362</v>
      </c>
      <c r="AT20" s="35">
        <f>'Pivot table'!H70</f>
        <v>1363</v>
      </c>
      <c r="AU20" s="35">
        <f>'Pivot table'!I70</f>
        <v>1152</v>
      </c>
      <c r="AV20" s="35">
        <f>'Pivot table'!J70</f>
        <v>777</v>
      </c>
      <c r="AW20" s="35">
        <f>'Pivot table'!K70</f>
        <v>750</v>
      </c>
      <c r="AX20" s="32"/>
    </row>
    <row r="25" spans="44:50">
      <c r="AX25" s="32"/>
    </row>
    <row r="32" spans="44:50">
      <c r="AX32" s="32"/>
    </row>
  </sheetData>
  <mergeCells count="1">
    <mergeCell ref="AS2:AW2"/>
  </mergeCells>
  <conditionalFormatting sqref="AS4:AW20">
    <cfRule type="dataBar" priority="5">
      <dataBar>
        <cfvo type="num" val="0"/>
        <cfvo type="formula" val="MAX($AS$4:$AW$20)*2"/>
        <color rgb="FF63C384"/>
      </dataBar>
      <extLst>
        <ext xmlns:x14="http://schemas.microsoft.com/office/spreadsheetml/2009/9/main" uri="{B025F937-C7B1-47D3-B67F-A62EFF666E3E}">
          <x14:id>{4606B5DB-128A-49B3-8FC2-3BEDEED8619D}</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606B5DB-128A-49B3-8FC2-3BEDEED8619D}">
            <x14:dataBar minLength="0" maxLength="100" gradient="0">
              <x14:cfvo type="num">
                <xm:f>0</xm:f>
              </x14:cfvo>
              <x14:cfvo type="formula">
                <xm:f>MAX($AS$4:$AW$20)*2</xm:f>
              </x14:cfvo>
              <x14:negativeFillColor rgb="FFFF0000"/>
              <x14:axisColor rgb="FF000000"/>
            </x14:dataBar>
          </x14:cfRule>
          <xm:sqref>AS4:AW20</xm:sqref>
        </x14:conditionalFormatting>
        <x14:conditionalFormatting xmlns:xm="http://schemas.microsoft.com/office/excel/2006/main">
          <x14:cfRule type="expression" priority="1" id="{9E75ABA6-E0BA-450A-86C8-C34640056C1E}">
            <xm:f>AS$3='Pivot table'!$L$47</xm:f>
            <x14:dxf>
              <fill>
                <patternFill>
                  <bgColor rgb="FF00B0F0"/>
                </patternFill>
              </fill>
            </x14:dxf>
          </x14:cfRule>
          <xm:sqref>AS3:AW20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H1" zoomScale="115" zoomScaleNormal="115" workbookViewId="0">
      <selection activeCell="G6" sqref="G6"/>
    </sheetView>
  </sheetViews>
  <sheetFormatPr defaultRowHeight="14.5"/>
  <cols>
    <col min="5" max="5" width="10.90625" customWidth="1"/>
    <col min="6" max="6" width="9.90625" customWidth="1"/>
  </cols>
  <sheetData>
    <row r="2" spans="5:6">
      <c r="E2" t="s">
        <v>1040</v>
      </c>
      <c r="F2" t="s">
        <v>1041</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2183B20-EA6A-459F-83D9-2D6745011E2D}">
  <ds:schemaRefs/>
</ds:datastoreItem>
</file>

<file path=customXml/itemProps2.xml><?xml version="1.0" encoding="utf-8"?>
<ds:datastoreItem xmlns:ds="http://schemas.openxmlformats.org/officeDocument/2006/customXml" ds:itemID="{C64AF84E-417F-4C6D-8AAD-7BF364115178}">
  <ds:schemaRefs/>
</ds:datastoreItem>
</file>

<file path=customXml/itemProps3.xml><?xml version="1.0" encoding="utf-8"?>
<ds:datastoreItem xmlns:ds="http://schemas.openxmlformats.org/officeDocument/2006/customXml" ds:itemID="{1D6E310D-5FB2-4725-9BFF-E20AA02EE730}">
  <ds:schemaRefs/>
</ds:datastoreItem>
</file>

<file path=customXml/itemProps4.xml><?xml version="1.0" encoding="utf-8"?>
<ds:datastoreItem xmlns:ds="http://schemas.openxmlformats.org/officeDocument/2006/customXml" ds:itemID="{037EC0B1-53F2-4220-ABEB-7732E5469BF4}">
  <ds:schemaRefs/>
</ds:datastoreItem>
</file>

<file path=customXml/itemProps5.xml><?xml version="1.0" encoding="utf-8"?>
<ds:datastoreItem xmlns:ds="http://schemas.openxmlformats.org/officeDocument/2006/customXml" ds:itemID="{A97C6781-045B-4220-8D1C-1F71FA1140B1}">
  <ds:schemaRefs/>
</ds:datastoreItem>
</file>

<file path=customXml/itemProps6.xml><?xml version="1.0" encoding="utf-8"?>
<ds:datastoreItem xmlns:ds="http://schemas.openxmlformats.org/officeDocument/2006/customXml" ds:itemID="{92BCFED5-183C-4F4C-A8D7-CCA669A661C2}">
  <ds:schemaRefs/>
</ds:datastoreItem>
</file>

<file path=customXml/itemProps7.xml><?xml version="1.0" encoding="utf-8"?>
<ds:datastoreItem xmlns:ds="http://schemas.openxmlformats.org/officeDocument/2006/customXml" ds:itemID="{C21CA521-3D85-45A4-A164-28C2F9E88EA5}">
  <ds:schemaRefs/>
</ds:datastoreItem>
</file>

<file path=customXml/itemProps8.xml><?xml version="1.0" encoding="utf-8"?>
<ds:datastoreItem xmlns:ds="http://schemas.openxmlformats.org/officeDocument/2006/customXml" ds:itemID="{35821BD5-28CC-4AF5-98E3-94561D9342B2}">
  <ds:schemaRefs/>
</ds:datastoreItem>
</file>

<file path=customXml/itemProps9.xml><?xml version="1.0" encoding="utf-8"?>
<ds:datastoreItem xmlns:ds="http://schemas.openxmlformats.org/officeDocument/2006/customXml" ds:itemID="{0EA7743F-8BA1-4DDD-8980-6BDAF33E505E}">
  <ds:schemaRefs/>
</ds:datastoreItem>
</file>

<file path=customXml/itemProps10.xml><?xml version="1.0" encoding="utf-8"?>
<ds:datastoreItem xmlns:ds="http://schemas.openxmlformats.org/officeDocument/2006/customXml" ds:itemID="{0105568B-4F27-45E9-AC4D-6783B41FE462}">
  <ds:schemaRefs/>
</ds:datastoreItem>
</file>

<file path=customXml/itemProps11.xml><?xml version="1.0" encoding="utf-8"?>
<ds:datastoreItem xmlns:ds="http://schemas.openxmlformats.org/officeDocument/2006/customXml" ds:itemID="{3DD040D5-2414-450F-99CE-2FCADC8FF789}">
  <ds:schemaRefs/>
</ds:datastoreItem>
</file>

<file path=customXml/itemProps12.xml><?xml version="1.0" encoding="utf-8"?>
<ds:datastoreItem xmlns:ds="http://schemas.openxmlformats.org/officeDocument/2006/customXml" ds:itemID="{C351FCAE-D531-410D-8205-B09CB9F2A4D7}">
  <ds:schemaRefs/>
</ds:datastoreItem>
</file>

<file path=customXml/itemProps13.xml><?xml version="1.0" encoding="utf-8"?>
<ds:datastoreItem xmlns:ds="http://schemas.openxmlformats.org/officeDocument/2006/customXml" ds:itemID="{51B4D0EE-8D7F-4CAB-890A-0BFD7E8D55F2}">
  <ds:schemaRefs/>
</ds:datastoreItem>
</file>

<file path=customXml/itemProps14.xml><?xml version="1.0" encoding="utf-8"?>
<ds:datastoreItem xmlns:ds="http://schemas.openxmlformats.org/officeDocument/2006/customXml" ds:itemID="{C1E06FAC-97A2-4962-AC59-A7EDDF917B6C}">
  <ds:schemaRefs/>
</ds:datastoreItem>
</file>

<file path=customXml/itemProps15.xml><?xml version="1.0" encoding="utf-8"?>
<ds:datastoreItem xmlns:ds="http://schemas.openxmlformats.org/officeDocument/2006/customXml" ds:itemID="{5018ABDA-A3DC-4B62-9981-72162B8B2691}">
  <ds:schemaRefs/>
</ds:datastoreItem>
</file>

<file path=customXml/itemProps16.xml><?xml version="1.0" encoding="utf-8"?>
<ds:datastoreItem xmlns:ds="http://schemas.openxmlformats.org/officeDocument/2006/customXml" ds:itemID="{C01D8746-D1CC-4957-9388-AA3A4ED4BE8C}">
  <ds:schemaRefs/>
</ds:datastoreItem>
</file>

<file path=customXml/itemProps17.xml><?xml version="1.0" encoding="utf-8"?>
<ds:datastoreItem xmlns:ds="http://schemas.openxmlformats.org/officeDocument/2006/customXml" ds:itemID="{822F4AD6-6B22-4CEA-86F6-878DA52205B3}">
  <ds:schemaRefs/>
</ds:datastoreItem>
</file>

<file path=customXml/itemProps18.xml><?xml version="1.0" encoding="utf-8"?>
<ds:datastoreItem xmlns:ds="http://schemas.openxmlformats.org/officeDocument/2006/customXml" ds:itemID="{E00FCE7D-7D0A-4409-ABCB-F953ED01C8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visualization</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cp:lastPrinted>2026-02-23T10:41:58Z</cp:lastPrinted>
  <dcterms:created xsi:type="dcterms:W3CDTF">2021-03-14T20:21:32Z</dcterms:created>
  <dcterms:modified xsi:type="dcterms:W3CDTF">2026-02-23T15:39:32Z</dcterms:modified>
</cp:coreProperties>
</file>