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\OneDrive\Documents\Statistics\Excel Files\Excel Projects\"/>
    </mc:Choice>
  </mc:AlternateContent>
  <xr:revisionPtr revIDLastSave="0" documentId="13_ncr:1_{ACCE6A11-FFBA-456B-A827-04E6E671101B}" xr6:coauthVersionLast="36" xr6:coauthVersionMax="36" xr10:uidLastSave="{00000000-0000-0000-0000-000000000000}"/>
  <bookViews>
    <workbookView xWindow="0" yWindow="0" windowWidth="19180" windowHeight="8830" xr2:uid="{00000000-000D-0000-FFFF-FFFF00000000}"/>
  </bookViews>
  <sheets>
    <sheet name="Pivot" sheetId="3" r:id="rId1"/>
    <sheet name="Sheet4" sheetId="5" r:id="rId2"/>
    <sheet name="best sellin books 2023" sheetId="1" r:id="rId3"/>
  </sheets>
  <definedNames>
    <definedName name="_xlnm._FilterDatabase" localSheetId="2" hidden="1">'best sellin books 2023'!$A$1:$K$101</definedName>
    <definedName name="ExternalData_1" localSheetId="1" hidden="1">Sheet4!$A$1:$M$99</definedName>
  </definedNames>
  <calcPr calcId="191029"/>
  <pivotCaches>
    <pivotCache cacheId="0" r:id="rId4"/>
  </pivotCaches>
</workbook>
</file>

<file path=xl/calcChain.xml><?xml version="1.0" encoding="utf-8"?>
<calcChain xmlns="http://schemas.openxmlformats.org/spreadsheetml/2006/main">
  <c r="B78" i="3" l="1" a="1"/>
  <c r="C78" i="3" s="1"/>
  <c r="D78" i="3" l="1"/>
  <c r="B78" i="3"/>
  <c r="E78" i="3"/>
  <c r="B81" i="3"/>
  <c r="B77" i="3" a="1"/>
  <c r="B77" i="3" s="1"/>
  <c r="B75" i="3" a="1"/>
  <c r="B75" i="3" s="1"/>
  <c r="D77" i="3" l="1"/>
  <c r="C7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best_sellin_books_2024" description="Connection to the 'best_sellin_books_2024' query in the workbook." type="5" refreshedVersion="6" background="1" saveData="1">
    <dbPr connection="Provider=Microsoft.Mashup.OleDb.1;Data Source=$Workbook$;Location=best_sellin_books_2024;Extended Properties=&quot;&quot;" command="SELECT * FROM [best_sellin_books_2024]"/>
  </connection>
</connections>
</file>

<file path=xl/sharedStrings.xml><?xml version="1.0" encoding="utf-8"?>
<sst xmlns="http://schemas.openxmlformats.org/spreadsheetml/2006/main" count="1569" uniqueCount="516">
  <si>
    <t>id</t>
  </si>
  <si>
    <t>Book name</t>
  </si>
  <si>
    <t>Author</t>
  </si>
  <si>
    <t>Rating</t>
  </si>
  <si>
    <t>reviews count</t>
  </si>
  <si>
    <t>form</t>
  </si>
  <si>
    <t>price</t>
  </si>
  <si>
    <t>Reading age</t>
  </si>
  <si>
    <t>Print Length</t>
  </si>
  <si>
    <t>Publishing date</t>
  </si>
  <si>
    <t>Genre</t>
  </si>
  <si>
    <t>#1</t>
  </si>
  <si>
    <t>Atomic Habits: An Easy &amp; Proven Way to Build Good Habits &amp; Break Bad Ones</t>
  </si>
  <si>
    <t>James Clear</t>
  </si>
  <si>
    <t>4.8 out of 5 stars</t>
  </si>
  <si>
    <t>Hardcover</t>
  </si>
  <si>
    <t>$18.88</t>
  </si>
  <si>
    <t>Self-Improvement</t>
  </si>
  <si>
    <t>#2</t>
  </si>
  <si>
    <t>Iron Flame (Standard Edition) (The Empyrean, 2)</t>
  </si>
  <si>
    <t>Rebecca Yarros</t>
  </si>
  <si>
    <t>4.7 out of 5 stars</t>
  </si>
  <si>
    <t>$11.05</t>
  </si>
  <si>
    <t>Fiction &amp; Action &amp; Adventure</t>
  </si>
  <si>
    <t>#3</t>
  </si>
  <si>
    <t>Spare</t>
  </si>
  <si>
    <t>Prince Harry  The Duke of Sussex</t>
  </si>
  <si>
    <t>4.5 out of 5 stars</t>
  </si>
  <si>
    <t>$11.99</t>
  </si>
  <si>
    <t>January 10, 2023</t>
  </si>
  <si>
    <t>Biographies &amp; Memoirs</t>
  </si>
  <si>
    <t>#4</t>
  </si>
  <si>
    <t>Fourth Wing</t>
  </si>
  <si>
    <t>Paperback</t>
  </si>
  <si>
    <t>$13.62</t>
  </si>
  <si>
    <t>#5</t>
  </si>
  <si>
    <t>The Woman in Me</t>
  </si>
  <si>
    <t>Britney Spears</t>
  </si>
  <si>
    <t>4.4 out of 5 stars</t>
  </si>
  <si>
    <t>$11.37</t>
  </si>
  <si>
    <t>October 24, 2023</t>
  </si>
  <si>
    <t>#6</t>
  </si>
  <si>
    <t>Lessons in Chemistry: A Novel</t>
  </si>
  <si>
    <t>Bonnie Garmus</t>
  </si>
  <si>
    <t>4.6 out of 5 stars</t>
  </si>
  <si>
    <t>$13.94</t>
  </si>
  <si>
    <t>April 5, 2022</t>
  </si>
  <si>
    <t>#7</t>
  </si>
  <si>
    <t>The 48 Laws of Power</t>
  </si>
  <si>
    <t>Robert Greene</t>
  </si>
  <si>
    <t>$13.99</t>
  </si>
  <si>
    <t>Politics &amp; Social Sciences</t>
  </si>
  <si>
    <t>#8</t>
  </si>
  <si>
    <t>The Body Keeps the Score: Brain, Mind, and Body in the Healing of Trauma</t>
  </si>
  <si>
    <t>Bessel van der Kolk M.D.</t>
  </si>
  <si>
    <t>$14.39</t>
  </si>
  <si>
    <t>18 years and up</t>
  </si>
  <si>
    <t>Health &amp; Fitness &amp; Dieting</t>
  </si>
  <si>
    <t>#9</t>
  </si>
  <si>
    <t>It Starts with Us: A Novel (It Ends with Us)</t>
  </si>
  <si>
    <t>Colleen Hoover</t>
  </si>
  <si>
    <t>$1.88</t>
  </si>
  <si>
    <t>#10</t>
  </si>
  <si>
    <t>Outlive: The Science and Art of Longevity</t>
  </si>
  <si>
    <t>Peter Attia MD</t>
  </si>
  <si>
    <t>$18.00</t>
  </si>
  <si>
    <t>#11</t>
  </si>
  <si>
    <t>It Ends with Us: A Novel</t>
  </si>
  <si>
    <t>$9.03</t>
  </si>
  <si>
    <t>#12</t>
  </si>
  <si>
    <t>The Housemaid</t>
  </si>
  <si>
    <t>Freida McFadden</t>
  </si>
  <si>
    <t>$9.69</t>
  </si>
  <si>
    <t>Mystery &amp; Thriller &amp; Suspense</t>
  </si>
  <si>
    <t>#13</t>
  </si>
  <si>
    <t>The Very Hungry Caterpillar</t>
  </si>
  <si>
    <t>Eric Carle</t>
  </si>
  <si>
    <t>4.9 out of 5 stars</t>
  </si>
  <si>
    <t>Board book</t>
  </si>
  <si>
    <t>$5.75</t>
  </si>
  <si>
    <t>1 - 2 years</t>
  </si>
  <si>
    <t>Reading &amp; Writing</t>
  </si>
  <si>
    <t>#14</t>
  </si>
  <si>
    <t>Killers of the Flower Moon: The Osage Murders and the Birth of the FBI</t>
  </si>
  <si>
    <t>David Grann</t>
  </si>
  <si>
    <t>$9.99</t>
  </si>
  <si>
    <t>April 3, 2018</t>
  </si>
  <si>
    <t>#15</t>
  </si>
  <si>
    <t>Verity</t>
  </si>
  <si>
    <t>$12.09</t>
  </si>
  <si>
    <t>#16</t>
  </si>
  <si>
    <t>The Seven Husbands of Evelyn Hugo</t>
  </si>
  <si>
    <t>Taylor Jenkins Reid</t>
  </si>
  <si>
    <t>$6.91</t>
  </si>
  <si>
    <t>#17</t>
  </si>
  <si>
    <t>The Creative Act: A Way of Being</t>
  </si>
  <si>
    <t>Rick Rubin</t>
  </si>
  <si>
    <t>$16.99</t>
  </si>
  <si>
    <t>#18</t>
  </si>
  <si>
    <t>Taylor Swift: A Little Golden Book Biography</t>
  </si>
  <si>
    <t>Wendy Loggia, Elisa Chavarri</t>
  </si>
  <si>
    <t>$4.35</t>
  </si>
  <si>
    <t>5 years and up</t>
  </si>
  <si>
    <t>Arts &amp; Music &amp; Photography</t>
  </si>
  <si>
    <t>#19</t>
  </si>
  <si>
    <t>The Four Agreements: A Practical Guide to Personal Freedom</t>
  </si>
  <si>
    <t>Janet Mills, Don Miguel Ruiz</t>
  </si>
  <si>
    <t>$7.05</t>
  </si>
  <si>
    <t>#20</t>
  </si>
  <si>
    <t>Demon Copperhead: A Novel</t>
  </si>
  <si>
    <t>Barbara Kingsolver</t>
  </si>
  <si>
    <t>$17.10</t>
  </si>
  <si>
    <t>October 18, 2022</t>
  </si>
  <si>
    <t>#21</t>
  </si>
  <si>
    <t>A Court of Thorns and Roses</t>
  </si>
  <si>
    <t>Sarah J. Maas</t>
  </si>
  <si>
    <t>$12.80</t>
  </si>
  <si>
    <t>#22</t>
  </si>
  <si>
    <t>Interesting Facts For Curious Minds</t>
  </si>
  <si>
    <t>Jordan Moore</t>
  </si>
  <si>
    <t>$10.41</t>
  </si>
  <si>
    <t>Puzzles &amp; Games</t>
  </si>
  <si>
    <t>#23</t>
  </si>
  <si>
    <t>No Brainer (Diary of a Wimpy Kid #18) (Volume 18)</t>
  </si>
  <si>
    <t>Jeff Kinney</t>
  </si>
  <si>
    <t>$2.03</t>
  </si>
  <si>
    <t>8 years and up</t>
  </si>
  <si>
    <t>#24</t>
  </si>
  <si>
    <t>I Love You to the Moon and Back</t>
  </si>
  <si>
    <t>Amelia Hepworth</t>
  </si>
  <si>
    <t>$3.97</t>
  </si>
  <si>
    <t>baby and up</t>
  </si>
  <si>
    <t>#25</t>
  </si>
  <si>
    <t>Dog Man: Twenty Thousand Fleas Under the Sea: A Graphic Novel (Dog Man #11): From the Creator of Captain Underpants</t>
  </si>
  <si>
    <t>Dav Pilkey</t>
  </si>
  <si>
    <t>$5.48</t>
  </si>
  <si>
    <t>7 years and up</t>
  </si>
  <si>
    <t>March 28, 2023</t>
  </si>
  <si>
    <t>Comics &amp; Graphic Novels</t>
  </si>
  <si>
    <t>#26</t>
  </si>
  <si>
    <t>Things We Never Got Over (Knockemout)</t>
  </si>
  <si>
    <t>Lucy Score</t>
  </si>
  <si>
    <t>$9.77</t>
  </si>
  <si>
    <t>January 12, 2022</t>
  </si>
  <si>
    <t>#27</t>
  </si>
  <si>
    <t>The Covenant of Water (Oprah's Book Club)</t>
  </si>
  <si>
    <t>Abraham Verghese</t>
  </si>
  <si>
    <t>$17.96</t>
  </si>
  <si>
    <t>May 2, 2023</t>
  </si>
  <si>
    <t>#28</t>
  </si>
  <si>
    <t>Brown Bear, Brown Bear, What Do You See?</t>
  </si>
  <si>
    <t>Bill Martin Jr. , Eric Carle</t>
  </si>
  <si>
    <t>$4.82</t>
  </si>
  <si>
    <t>#29</t>
  </si>
  <si>
    <t>Baking Yesteryear: The Best Recipes from the 1900s to the 1980s</t>
  </si>
  <si>
    <t>B. Dylan Hollis</t>
  </si>
  <si>
    <t>$16.78</t>
  </si>
  <si>
    <t>July 25, 2023</t>
  </si>
  <si>
    <t>Cookbooks &amp; Food</t>
  </si>
  <si>
    <t>#30</t>
  </si>
  <si>
    <t>I Love You Like No Otter: A Funny and Sweet Valentine's Day Board Book for Babies and Toddlers (Punderland)</t>
  </si>
  <si>
    <t>Rose Rossner</t>
  </si>
  <si>
    <t>$5.37</t>
  </si>
  <si>
    <t>#31</t>
  </si>
  <si>
    <t>Friends, Lovers, and the Big Terrible Thing</t>
  </si>
  <si>
    <t>Matthew Perry</t>
  </si>
  <si>
    <t>$10.83</t>
  </si>
  <si>
    <t>November 1, 2022</t>
  </si>
  <si>
    <t>Humor &amp; Entertainment</t>
  </si>
  <si>
    <t>#32</t>
  </si>
  <si>
    <t>Rich Dad Poor Dad</t>
  </si>
  <si>
    <t>Robert T. Kiyosaki</t>
  </si>
  <si>
    <t>$7.34</t>
  </si>
  <si>
    <t>Business &amp; Money</t>
  </si>
  <si>
    <t>#33</t>
  </si>
  <si>
    <t>The Wager: A Tale of Shipwreck, Mutiny and Murder</t>
  </si>
  <si>
    <t>$14.47</t>
  </si>
  <si>
    <t>1 year and up</t>
  </si>
  <si>
    <t>April 18, 2023</t>
  </si>
  <si>
    <t>#34</t>
  </si>
  <si>
    <t>Oh, the Places You'll Go!</t>
  </si>
  <si>
    <t xml:space="preserve">Dr. Seuss </t>
  </si>
  <si>
    <t>$8.64</t>
  </si>
  <si>
    <t>3 - 4 years</t>
  </si>
  <si>
    <t>#35</t>
  </si>
  <si>
    <t>My First Library: Boxset of 10 Board Books for Kids</t>
  </si>
  <si>
    <t>Wonder House Books</t>
  </si>
  <si>
    <t>$14.99</t>
  </si>
  <si>
    <t>#36</t>
  </si>
  <si>
    <t>If He Had Been with Me</t>
  </si>
  <si>
    <t>Laura Nowlin</t>
  </si>
  <si>
    <t>4.2 out of 5 stars</t>
  </si>
  <si>
    <t>$6.88</t>
  </si>
  <si>
    <t>#37</t>
  </si>
  <si>
    <t>Goodnight Moon</t>
  </si>
  <si>
    <t>Margaret Wise Brown, Clement Hurd</t>
  </si>
  <si>
    <t>$1.89</t>
  </si>
  <si>
    <t>August 2, 1991</t>
  </si>
  <si>
    <t>#38</t>
  </si>
  <si>
    <t>Tomorrow, and Tomorrow, and Tomorrow</t>
  </si>
  <si>
    <t>Gabrielle Zevin</t>
  </si>
  <si>
    <t>$13.28</t>
  </si>
  <si>
    <t>July 5, 2022</t>
  </si>
  <si>
    <t>#39</t>
  </si>
  <si>
    <t>World of Eric Carle, Around the Farm 30</t>
  </si>
  <si>
    <t>PI Kids</t>
  </si>
  <si>
    <t>#40</t>
  </si>
  <si>
    <t>The Wonderful Things You Will Be</t>
  </si>
  <si>
    <t>Emily Winfield Martin</t>
  </si>
  <si>
    <t>$9.45</t>
  </si>
  <si>
    <t>3 years and up</t>
  </si>
  <si>
    <t>#41</t>
  </si>
  <si>
    <t>Fourth Wing (Special Edition)</t>
  </si>
  <si>
    <t>$26.91</t>
  </si>
  <si>
    <t>November 7, 2023</t>
  </si>
  <si>
    <t>#42</t>
  </si>
  <si>
    <t>The Silent Patient</t>
  </si>
  <si>
    <t>Alex Michaelides</t>
  </si>
  <si>
    <t>$2.39</t>
  </si>
  <si>
    <t>#43</t>
  </si>
  <si>
    <t>Remarkably Bright Creatures: A Read with Jenna Pick</t>
  </si>
  <si>
    <t>Shelby Van Pelt</t>
  </si>
  <si>
    <t>$14.53</t>
  </si>
  <si>
    <t>#44</t>
  </si>
  <si>
    <t>The Psychology of Money: Timeless lessons on wealth, greed, and happiness</t>
  </si>
  <si>
    <t>Morgan Housel</t>
  </si>
  <si>
    <t>$14.18</t>
  </si>
  <si>
    <t>#45</t>
  </si>
  <si>
    <t>The Shadow Work Journal</t>
  </si>
  <si>
    <t>Keila Shaheen</t>
  </si>
  <si>
    <t>$23.66</t>
  </si>
  <si>
    <t>November 2, 2021</t>
  </si>
  <si>
    <t>#46</t>
  </si>
  <si>
    <t>Oath and Honor: A Memoir and a Warning</t>
  </si>
  <si>
    <t>Liz Cheney</t>
  </si>
  <si>
    <t>$14.78</t>
  </si>
  <si>
    <t>December 5, 2023</t>
  </si>
  <si>
    <t>#47</t>
  </si>
  <si>
    <t>Where's Bluey?: A Search-and-Find Book</t>
  </si>
  <si>
    <t>Penguin Young Readers Licenses</t>
  </si>
  <si>
    <t>$2.70</t>
  </si>
  <si>
    <t>2 years and up</t>
  </si>
  <si>
    <t>January 25, 2022</t>
  </si>
  <si>
    <t>#48</t>
  </si>
  <si>
    <t>Twisted Love</t>
  </si>
  <si>
    <t>Ana Huang</t>
  </si>
  <si>
    <t>September 27, 2022</t>
  </si>
  <si>
    <t>#49</t>
  </si>
  <si>
    <t>Icebreaker</t>
  </si>
  <si>
    <t>Hannah Grace</t>
  </si>
  <si>
    <t>4.3 out of 5 stars</t>
  </si>
  <si>
    <t>$9.40</t>
  </si>
  <si>
    <t>February 7, 2023</t>
  </si>
  <si>
    <t>#50</t>
  </si>
  <si>
    <t>Things We Hide from the Light</t>
  </si>
  <si>
    <t>$9.95</t>
  </si>
  <si>
    <t>February 21, 2023</t>
  </si>
  <si>
    <t>#51</t>
  </si>
  <si>
    <t>Reminders of Him: A Novel</t>
  </si>
  <si>
    <t>January 18, 2022</t>
  </si>
  <si>
    <t>#52</t>
  </si>
  <si>
    <t>A Court of Mist and Fury</t>
  </si>
  <si>
    <t>$12.16</t>
  </si>
  <si>
    <t>#53</t>
  </si>
  <si>
    <t>The Legend of Zelda™: Tears of the Kingdom – The Complete Official Guide: Collector's Edition</t>
  </si>
  <si>
    <t>Piggyback</t>
  </si>
  <si>
    <t>$20.19</t>
  </si>
  <si>
    <t>July 7, 2023</t>
  </si>
  <si>
    <t>Computers &amp; Technology</t>
  </si>
  <si>
    <t>#54</t>
  </si>
  <si>
    <t>Elon Musk</t>
  </si>
  <si>
    <t>Walter Isaacson</t>
  </si>
  <si>
    <t>$19.93</t>
  </si>
  <si>
    <t>September 12, 2023</t>
  </si>
  <si>
    <t>#55</t>
  </si>
  <si>
    <t>I Will Teach You to Be Rich: No Guilt. No Excuses. Just a 6-Week Program That Works (Second Edition)</t>
  </si>
  <si>
    <t>Ramit Sethi</t>
  </si>
  <si>
    <t>$10.17</t>
  </si>
  <si>
    <t>May 14, 2019</t>
  </si>
  <si>
    <t>#56</t>
  </si>
  <si>
    <t>Haunting Adeline</t>
  </si>
  <si>
    <t>H. D. Carlton</t>
  </si>
  <si>
    <t>$17.18</t>
  </si>
  <si>
    <t>#57</t>
  </si>
  <si>
    <t>How to Catch a Dinosaur</t>
  </si>
  <si>
    <t>Adam Wallace</t>
  </si>
  <si>
    <t>$5.60</t>
  </si>
  <si>
    <t>September 3, 2019</t>
  </si>
  <si>
    <t>#58</t>
  </si>
  <si>
    <t>Ugly Love: A Novel</t>
  </si>
  <si>
    <t>$8.91</t>
  </si>
  <si>
    <t>August 5, 2014</t>
  </si>
  <si>
    <t>#59</t>
  </si>
  <si>
    <t>If Animals Kissed Good Night</t>
  </si>
  <si>
    <t>Ann Whitford Paul</t>
  </si>
  <si>
    <t>$4.23</t>
  </si>
  <si>
    <t>June 3, 2014</t>
  </si>
  <si>
    <t>#60</t>
  </si>
  <si>
    <t>Happy Place</t>
  </si>
  <si>
    <t>Emily Henry</t>
  </si>
  <si>
    <t>$12.29</t>
  </si>
  <si>
    <t>April 25, 2023</t>
  </si>
  <si>
    <t>#61</t>
  </si>
  <si>
    <t>Twisted Games</t>
  </si>
  <si>
    <t>$9.74</t>
  </si>
  <si>
    <t>Romance</t>
  </si>
  <si>
    <t>#62</t>
  </si>
  <si>
    <t>Chicka Chicka Boom Boom</t>
  </si>
  <si>
    <t>Bill Martin Jr.,  John Archambault , Lois Ehlert</t>
  </si>
  <si>
    <t>$4.17</t>
  </si>
  <si>
    <t>#63</t>
  </si>
  <si>
    <t>Hello Beautiful (Oprah's Book Club): A Novel</t>
  </si>
  <si>
    <t>Ann Napolitano</t>
  </si>
  <si>
    <t>$13.97</t>
  </si>
  <si>
    <t>March 14, 2023</t>
  </si>
  <si>
    <t>#64</t>
  </si>
  <si>
    <t>The Democrat Party Hates America</t>
  </si>
  <si>
    <t>Mark R. Levin</t>
  </si>
  <si>
    <t>$13.47</t>
  </si>
  <si>
    <t>September 19, 2023</t>
  </si>
  <si>
    <t>#65</t>
  </si>
  <si>
    <t>A Little Life</t>
  </si>
  <si>
    <t>Hanya Yanagihara</t>
  </si>
  <si>
    <t>$9.25</t>
  </si>
  <si>
    <t>January 26, 2016</t>
  </si>
  <si>
    <t>#66</t>
  </si>
  <si>
    <t>Meditations</t>
  </si>
  <si>
    <t>Marcus Aurelius</t>
  </si>
  <si>
    <t>$8.18</t>
  </si>
  <si>
    <t>May 6, 2003</t>
  </si>
  <si>
    <t>#67</t>
  </si>
  <si>
    <t>Holly</t>
  </si>
  <si>
    <t>Stephen King</t>
  </si>
  <si>
    <t>$13.98</t>
  </si>
  <si>
    <t>September 5, 2023</t>
  </si>
  <si>
    <t>#68</t>
  </si>
  <si>
    <t>The Heaven &amp; Earth Grocery Store</t>
  </si>
  <si>
    <t>James McBride</t>
  </si>
  <si>
    <t>$15.05</t>
  </si>
  <si>
    <t>#69</t>
  </si>
  <si>
    <t>Scholastic Flash Cards: Sight Words</t>
  </si>
  <si>
    <t>Scholastic</t>
  </si>
  <si>
    <t>Cards</t>
  </si>
  <si>
    <t>$3.07</t>
  </si>
  <si>
    <t>4 years and up</t>
  </si>
  <si>
    <t>Schools &amp; Teaching</t>
  </si>
  <si>
    <t>#70</t>
  </si>
  <si>
    <t>Think and Grow Rich: The Landmark Bestseller Now Revised and Updated for the 21st Century (Think and Grow Rich Series)</t>
  </si>
  <si>
    <t>Napoleon Hill</t>
  </si>
  <si>
    <t>$8.24</t>
  </si>
  <si>
    <t>December 15, 2007</t>
  </si>
  <si>
    <t>#71</t>
  </si>
  <si>
    <t>Daisy Jones &amp; The Six: Reese's Book Club: A Novel</t>
  </si>
  <si>
    <t>$9.33</t>
  </si>
  <si>
    <t>February 4, 2020</t>
  </si>
  <si>
    <t>#72</t>
  </si>
  <si>
    <t>A Court of Thorns and Roses Paperback Box Set (5 books)</t>
  </si>
  <si>
    <t>$47.90</t>
  </si>
  <si>
    <t>#73</t>
  </si>
  <si>
    <t>How to Win Friends &amp; Influence People</t>
  </si>
  <si>
    <t xml:space="preserve">Dale Carnegie </t>
  </si>
  <si>
    <t>$15.44</t>
  </si>
  <si>
    <t>#74</t>
  </si>
  <si>
    <t>The Complete Cookbook for Young Chefs</t>
  </si>
  <si>
    <t>America’s Test Kitchen Kids</t>
  </si>
  <si>
    <t>#75</t>
  </si>
  <si>
    <t>The Boy, the Mole, the Fox and the Horse: Inspiring Conversations on Hope, Love and Personal Growth</t>
  </si>
  <si>
    <t>Charlie Mackesy</t>
  </si>
  <si>
    <t>$17.62</t>
  </si>
  <si>
    <t>October 22, 2019</t>
  </si>
  <si>
    <t>#76</t>
  </si>
  <si>
    <t>Can't Hurt Me: Master Your Mind and Defy the Odds</t>
  </si>
  <si>
    <t>David Goggins</t>
  </si>
  <si>
    <t>$24.99</t>
  </si>
  <si>
    <t>December 10, 2018</t>
  </si>
  <si>
    <t>#77</t>
  </si>
  <si>
    <t>The Complete Summer I Turned Pretty Trilogy (Boxed Set): The Summer I Turned Pretty; It's Not Summer Without You; We'll Always Have Summer</t>
  </si>
  <si>
    <t>Jenny Han</t>
  </si>
  <si>
    <t>$24.62</t>
  </si>
  <si>
    <t xml:space="preserve">12 years and up </t>
  </si>
  <si>
    <t>May 7, 2013</t>
  </si>
  <si>
    <t>#78</t>
  </si>
  <si>
    <t>The Exchange: After The Firm (The Firm Series)</t>
  </si>
  <si>
    <t>John Grisham</t>
  </si>
  <si>
    <t>4.1 out of 5 stars</t>
  </si>
  <si>
    <t>$12.97</t>
  </si>
  <si>
    <t>October 17, 2023</t>
  </si>
  <si>
    <t>#79</t>
  </si>
  <si>
    <t>Dragons Love Tacos</t>
  </si>
  <si>
    <t>Adam Rubin, Daniel Salmieri</t>
  </si>
  <si>
    <t>$9.82</t>
  </si>
  <si>
    <t>#80</t>
  </si>
  <si>
    <t>The Nightingale: A Novel</t>
  </si>
  <si>
    <t>Kristin Hannah</t>
  </si>
  <si>
    <t>$13.48</t>
  </si>
  <si>
    <t xml:space="preserve"> April 25, 2017</t>
  </si>
  <si>
    <t>#81</t>
  </si>
  <si>
    <t>Harry Potter Paperback Box Set</t>
  </si>
  <si>
    <t>J. K. Rowling, Mary GrandPre?</t>
  </si>
  <si>
    <t>$52.62</t>
  </si>
  <si>
    <t>9 years and up</t>
  </si>
  <si>
    <t>July 1, 2009</t>
  </si>
  <si>
    <t>#82</t>
  </si>
  <si>
    <t>Adult Children of Emotionally Immature Parents</t>
  </si>
  <si>
    <t>Lindsay C. Gibson</t>
  </si>
  <si>
    <t>$10.21</t>
  </si>
  <si>
    <t>June 1, 2015</t>
  </si>
  <si>
    <t>#83</t>
  </si>
  <si>
    <t>Stop Overthinking</t>
  </si>
  <si>
    <t>Nick Trenton</t>
  </si>
  <si>
    <t>$10.20</t>
  </si>
  <si>
    <t>March 1, 2021</t>
  </si>
  <si>
    <t>#84</t>
  </si>
  <si>
    <t>A Court of Wings and Ruin</t>
  </si>
  <si>
    <t>$12.81</t>
  </si>
  <si>
    <t>#85</t>
  </si>
  <si>
    <t>The Subtle Art of Not Giving a F*ck</t>
  </si>
  <si>
    <t>Mark Manson</t>
  </si>
  <si>
    <t>$13.43</t>
  </si>
  <si>
    <t>September 13, 2016</t>
  </si>
  <si>
    <t>#86</t>
  </si>
  <si>
    <t>American Prometheus</t>
  </si>
  <si>
    <t>Kai Bird, Martin J. Sherwin</t>
  </si>
  <si>
    <t>$14.71</t>
  </si>
  <si>
    <t>May 1, 2006</t>
  </si>
  <si>
    <t>#87</t>
  </si>
  <si>
    <t>Fast Like a Girl</t>
  </si>
  <si>
    <t>Dr. Mindy Pelz</t>
  </si>
  <si>
    <t>December 27, 2022</t>
  </si>
  <si>
    <t>#88</t>
  </si>
  <si>
    <t>The Shadow Work Journal 2nd Edition</t>
  </si>
  <si>
    <t>$21.74</t>
  </si>
  <si>
    <t>February 28, 2023</t>
  </si>
  <si>
    <t>#89</t>
  </si>
  <si>
    <t>The Alchemist</t>
  </si>
  <si>
    <t>Paulo Coelho</t>
  </si>
  <si>
    <t>$5.03</t>
  </si>
  <si>
    <t>April 15, 2014</t>
  </si>
  <si>
    <t>#90</t>
  </si>
  <si>
    <t>Love You Forever</t>
  </si>
  <si>
    <t>Robert Munsch, Sheila McGraw</t>
  </si>
  <si>
    <t>$4.98</t>
  </si>
  <si>
    <t>September 1, 1995</t>
  </si>
  <si>
    <t>#91</t>
  </si>
  <si>
    <t>How to Catch a Unicorn</t>
  </si>
  <si>
    <t>Adam Wallace, Andy Elkerton</t>
  </si>
  <si>
    <t>$5.96</t>
  </si>
  <si>
    <t>March 5, 2019</t>
  </si>
  <si>
    <t>#92</t>
  </si>
  <si>
    <t>All the Light We Cannot See</t>
  </si>
  <si>
    <t>Anthony Doerr</t>
  </si>
  <si>
    <t>$10.18</t>
  </si>
  <si>
    <t>April 4, 2017</t>
  </si>
  <si>
    <t>#93</t>
  </si>
  <si>
    <t>The Ballad of Songbirds and Snakes</t>
  </si>
  <si>
    <t>Suzanne Collins</t>
  </si>
  <si>
    <t>August 1, 2023</t>
  </si>
  <si>
    <t>#94</t>
  </si>
  <si>
    <t>What to Expect When You're Expecting</t>
  </si>
  <si>
    <t>Heidi Murkoff</t>
  </si>
  <si>
    <t>$9.43</t>
  </si>
  <si>
    <t>#95</t>
  </si>
  <si>
    <t>The Last Thing He Told Me</t>
  </si>
  <si>
    <t>Laura Dave</t>
  </si>
  <si>
    <t>$7.16</t>
  </si>
  <si>
    <t>March 21, 2023</t>
  </si>
  <si>
    <t>#96</t>
  </si>
  <si>
    <t>From Crook to Cook: Platinum Recipes from Tha Boss Dogg's Kitchen (Snoop Dogg Cookbook, Celebrity Cookbook with Soul Food Recipes)</t>
  </si>
  <si>
    <t>Snoop Dogg</t>
  </si>
  <si>
    <t>$12.00</t>
  </si>
  <si>
    <t>#97</t>
  </si>
  <si>
    <t>The 5 Love Languages</t>
  </si>
  <si>
    <t>Gary Chapman</t>
  </si>
  <si>
    <t>June 1, 2024</t>
  </si>
  <si>
    <t>#98</t>
  </si>
  <si>
    <t>My First Learn-to-Write Workbook: Practice for Kids with Pen Control, Line Tracing, Letters, and More!</t>
  </si>
  <si>
    <t>Crystal Radke</t>
  </si>
  <si>
    <t>$5.26</t>
  </si>
  <si>
    <t>#99</t>
  </si>
  <si>
    <t>How to Catch a Mermaid</t>
  </si>
  <si>
    <t>$5.71</t>
  </si>
  <si>
    <t xml:space="preserve"> July 17, 2018</t>
  </si>
  <si>
    <t>#100</t>
  </si>
  <si>
    <t>A Court of Frost and Starlight</t>
  </si>
  <si>
    <t>$12.74</t>
  </si>
  <si>
    <t>id.2</t>
  </si>
  <si>
    <t>Rating out of 5</t>
  </si>
  <si>
    <t>ALL</t>
  </si>
  <si>
    <t xml:space="preserve">18 years  </t>
  </si>
  <si>
    <t xml:space="preserve">5 years  </t>
  </si>
  <si>
    <t xml:space="preserve">8 years  </t>
  </si>
  <si>
    <t xml:space="preserve">7 years  </t>
  </si>
  <si>
    <t xml:space="preserve">1 year  </t>
  </si>
  <si>
    <t xml:space="preserve">3 years  </t>
  </si>
  <si>
    <t xml:space="preserve">2 years  </t>
  </si>
  <si>
    <t xml:space="preserve">12 years   </t>
  </si>
  <si>
    <t>Book Volume</t>
  </si>
  <si>
    <t>Large</t>
  </si>
  <si>
    <t>Extra-Large</t>
  </si>
  <si>
    <t>Medium</t>
  </si>
  <si>
    <t>Row Labels</t>
  </si>
  <si>
    <t>Column Labels</t>
  </si>
  <si>
    <t>Medium-Large</t>
  </si>
  <si>
    <t>Small</t>
  </si>
  <si>
    <t>Costly</t>
  </si>
  <si>
    <t>Affordable</t>
  </si>
  <si>
    <t>Cheap</t>
  </si>
  <si>
    <t>Very Costly</t>
  </si>
  <si>
    <t>Extremely Costly</t>
  </si>
  <si>
    <t>Price Range</t>
  </si>
  <si>
    <t xml:space="preserve">Baby  </t>
  </si>
  <si>
    <t>Count of Book name</t>
  </si>
  <si>
    <t>Count of Price Range</t>
  </si>
  <si>
    <t>Book count</t>
  </si>
  <si>
    <t>Count of form</t>
  </si>
  <si>
    <t>control+shift+Enter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</si>
</sst>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33" borderId="0" xfId="0" applyFill="1"/>
    <xf numFmtId="0" fontId="0" fillId="0" borderId="0" xfId="0" applyAlignment="1">
      <alignment horizontal="center"/>
    </xf>
    <xf numFmtId="0" fontId="0" fillId="33" borderId="0" xfId="0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[best sellin books 2023.xlsm]Pivot!PivotTable1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B0F0"/>
                </a:solidFill>
                <a:latin typeface="Arial Black" panose="020B0A04020102020204" pitchFamily="34" charset="0"/>
              </a:rPr>
              <a:t>Book</a:t>
            </a:r>
            <a:r>
              <a:rPr lang="en-US" b="1" baseline="0">
                <a:solidFill>
                  <a:srgbClr val="00B0F0"/>
                </a:solidFill>
                <a:latin typeface="Arial Black" panose="020B0A04020102020204" pitchFamily="34" charset="0"/>
              </a:rPr>
              <a:t> volume by Age Bracket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Pivot!$B$2:$B$3</c:f>
              <c:strCache>
                <c:ptCount val="1"/>
                <c:pt idx="0">
                  <c:v>Baby 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Pivot!$A$4:$A$8</c:f>
              <c:strCache>
                <c:ptCount val="5"/>
                <c:pt idx="0">
                  <c:v>Small</c:v>
                </c:pt>
                <c:pt idx="1">
                  <c:v>Medium</c:v>
                </c:pt>
                <c:pt idx="2">
                  <c:v>Medium-Large</c:v>
                </c:pt>
                <c:pt idx="3">
                  <c:v>Large</c:v>
                </c:pt>
                <c:pt idx="4">
                  <c:v>Extra-Large</c:v>
                </c:pt>
              </c:strCache>
            </c:strRef>
          </c:cat>
          <c:val>
            <c:numRef>
              <c:f>Pivot!$B$4:$B$8</c:f>
              <c:numCache>
                <c:formatCode>General</c:formatCode>
                <c:ptCount val="5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67-4C99-B45C-B3CE491BCE25}"/>
            </c:ext>
          </c:extLst>
        </c:ser>
        <c:ser>
          <c:idx val="1"/>
          <c:order val="1"/>
          <c:tx>
            <c:strRef>
              <c:f>Pivot!$C$2:$C$3</c:f>
              <c:strCache>
                <c:ptCount val="1"/>
                <c:pt idx="0">
                  <c:v>1 year 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Pivot!$A$4:$A$8</c:f>
              <c:strCache>
                <c:ptCount val="5"/>
                <c:pt idx="0">
                  <c:v>Small</c:v>
                </c:pt>
                <c:pt idx="1">
                  <c:v>Medium</c:v>
                </c:pt>
                <c:pt idx="2">
                  <c:v>Medium-Large</c:v>
                </c:pt>
                <c:pt idx="3">
                  <c:v>Large</c:v>
                </c:pt>
                <c:pt idx="4">
                  <c:v>Extra-Large</c:v>
                </c:pt>
              </c:strCache>
            </c:strRef>
          </c:cat>
          <c:val>
            <c:numRef>
              <c:f>Pivot!$C$4:$C$8</c:f>
              <c:numCache>
                <c:formatCode>General</c:formatCode>
                <c:ptCount val="5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67-4C99-B45C-B3CE491BCE25}"/>
            </c:ext>
          </c:extLst>
        </c:ser>
        <c:ser>
          <c:idx val="2"/>
          <c:order val="2"/>
          <c:tx>
            <c:strRef>
              <c:f>Pivot!$D$2:$D$3</c:f>
              <c:strCache>
                <c:ptCount val="1"/>
                <c:pt idx="0">
                  <c:v>1 - 2 years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Pivot!$A$4:$A$8</c:f>
              <c:strCache>
                <c:ptCount val="5"/>
                <c:pt idx="0">
                  <c:v>Small</c:v>
                </c:pt>
                <c:pt idx="1">
                  <c:v>Medium</c:v>
                </c:pt>
                <c:pt idx="2">
                  <c:v>Medium-Large</c:v>
                </c:pt>
                <c:pt idx="3">
                  <c:v>Large</c:v>
                </c:pt>
                <c:pt idx="4">
                  <c:v>Extra-Large</c:v>
                </c:pt>
              </c:strCache>
            </c:strRef>
          </c:cat>
          <c:val>
            <c:numRef>
              <c:f>Pivot!$D$4:$D$8</c:f>
              <c:numCache>
                <c:formatCode>General</c:formatCode>
                <c:ptCount val="5"/>
                <c:pt idx="0">
                  <c:v>4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67-4C99-B45C-B3CE491BCE25}"/>
            </c:ext>
          </c:extLst>
        </c:ser>
        <c:ser>
          <c:idx val="3"/>
          <c:order val="3"/>
          <c:tx>
            <c:strRef>
              <c:f>Pivot!$E$2:$E$3</c:f>
              <c:strCache>
                <c:ptCount val="1"/>
                <c:pt idx="0">
                  <c:v>2 years 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Pivot!$A$4:$A$8</c:f>
              <c:strCache>
                <c:ptCount val="5"/>
                <c:pt idx="0">
                  <c:v>Small</c:v>
                </c:pt>
                <c:pt idx="1">
                  <c:v>Medium</c:v>
                </c:pt>
                <c:pt idx="2">
                  <c:v>Medium-Large</c:v>
                </c:pt>
                <c:pt idx="3">
                  <c:v>Large</c:v>
                </c:pt>
                <c:pt idx="4">
                  <c:v>Extra-Large</c:v>
                </c:pt>
              </c:strCache>
            </c:strRef>
          </c:cat>
          <c:val>
            <c:numRef>
              <c:f>Pivot!$E$4:$E$8</c:f>
              <c:numCache>
                <c:formatCode>General</c:formatCode>
                <c:ptCount val="5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67-4C99-B45C-B3CE491BCE25}"/>
            </c:ext>
          </c:extLst>
        </c:ser>
        <c:ser>
          <c:idx val="4"/>
          <c:order val="4"/>
          <c:tx>
            <c:strRef>
              <c:f>Pivot!$F$2:$F$3</c:f>
              <c:strCache>
                <c:ptCount val="1"/>
                <c:pt idx="0">
                  <c:v>3 years 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Pivot!$A$4:$A$8</c:f>
              <c:strCache>
                <c:ptCount val="5"/>
                <c:pt idx="0">
                  <c:v>Small</c:v>
                </c:pt>
                <c:pt idx="1">
                  <c:v>Medium</c:v>
                </c:pt>
                <c:pt idx="2">
                  <c:v>Medium-Large</c:v>
                </c:pt>
                <c:pt idx="3">
                  <c:v>Large</c:v>
                </c:pt>
                <c:pt idx="4">
                  <c:v>Extra-Large</c:v>
                </c:pt>
              </c:strCache>
            </c:strRef>
          </c:cat>
          <c:val>
            <c:numRef>
              <c:f>Pivot!$F$4:$F$8</c:f>
              <c:numCache>
                <c:formatCode>General</c:formatCode>
                <c:ptCount val="5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67-4C99-B45C-B3CE491BCE25}"/>
            </c:ext>
          </c:extLst>
        </c:ser>
        <c:ser>
          <c:idx val="5"/>
          <c:order val="5"/>
          <c:tx>
            <c:strRef>
              <c:f>Pivot!$G$2:$G$3</c:f>
              <c:strCache>
                <c:ptCount val="1"/>
                <c:pt idx="0">
                  <c:v>3 - 4 years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Pivot!$A$4:$A$8</c:f>
              <c:strCache>
                <c:ptCount val="5"/>
                <c:pt idx="0">
                  <c:v>Small</c:v>
                </c:pt>
                <c:pt idx="1">
                  <c:v>Medium</c:v>
                </c:pt>
                <c:pt idx="2">
                  <c:v>Medium-Large</c:v>
                </c:pt>
                <c:pt idx="3">
                  <c:v>Large</c:v>
                </c:pt>
                <c:pt idx="4">
                  <c:v>Extra-Large</c:v>
                </c:pt>
              </c:strCache>
            </c:strRef>
          </c:cat>
          <c:val>
            <c:numRef>
              <c:f>Pivot!$G$4:$G$8</c:f>
              <c:numCache>
                <c:formatCode>General</c:formatCode>
                <c:ptCount val="5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67-4C99-B45C-B3CE491BCE25}"/>
            </c:ext>
          </c:extLst>
        </c:ser>
        <c:ser>
          <c:idx val="6"/>
          <c:order val="6"/>
          <c:tx>
            <c:strRef>
              <c:f>Pivot!$H$2:$H$3</c:f>
              <c:strCache>
                <c:ptCount val="1"/>
                <c:pt idx="0">
                  <c:v>5 years  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Pivot!$A$4:$A$8</c:f>
              <c:strCache>
                <c:ptCount val="5"/>
                <c:pt idx="0">
                  <c:v>Small</c:v>
                </c:pt>
                <c:pt idx="1">
                  <c:v>Medium</c:v>
                </c:pt>
                <c:pt idx="2">
                  <c:v>Medium-Large</c:v>
                </c:pt>
                <c:pt idx="3">
                  <c:v>Large</c:v>
                </c:pt>
                <c:pt idx="4">
                  <c:v>Extra-Large</c:v>
                </c:pt>
              </c:strCache>
            </c:strRef>
          </c:cat>
          <c:val>
            <c:numRef>
              <c:f>Pivot!$H$4:$H$8</c:f>
              <c:numCache>
                <c:formatCode>General</c:formatCode>
                <c:ptCount val="5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67-4C99-B45C-B3CE491BCE25}"/>
            </c:ext>
          </c:extLst>
        </c:ser>
        <c:ser>
          <c:idx val="7"/>
          <c:order val="7"/>
          <c:tx>
            <c:strRef>
              <c:f>Pivot!$I$2:$I$3</c:f>
              <c:strCache>
                <c:ptCount val="1"/>
                <c:pt idx="0">
                  <c:v>7 years 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Pivot!$A$4:$A$8</c:f>
              <c:strCache>
                <c:ptCount val="5"/>
                <c:pt idx="0">
                  <c:v>Small</c:v>
                </c:pt>
                <c:pt idx="1">
                  <c:v>Medium</c:v>
                </c:pt>
                <c:pt idx="2">
                  <c:v>Medium-Large</c:v>
                </c:pt>
                <c:pt idx="3">
                  <c:v>Large</c:v>
                </c:pt>
                <c:pt idx="4">
                  <c:v>Extra-Large</c:v>
                </c:pt>
              </c:strCache>
            </c:strRef>
          </c:cat>
          <c:val>
            <c:numRef>
              <c:f>Pivot!$I$4:$I$8</c:f>
              <c:numCache>
                <c:formatCode>General</c:formatCode>
                <c:ptCount val="5"/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67-4C99-B45C-B3CE491BCE25}"/>
            </c:ext>
          </c:extLst>
        </c:ser>
        <c:ser>
          <c:idx val="8"/>
          <c:order val="8"/>
          <c:tx>
            <c:strRef>
              <c:f>Pivot!$J$2:$J$3</c:f>
              <c:strCache>
                <c:ptCount val="1"/>
                <c:pt idx="0">
                  <c:v>8 years 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Pivot!$A$4:$A$8</c:f>
              <c:strCache>
                <c:ptCount val="5"/>
                <c:pt idx="0">
                  <c:v>Small</c:v>
                </c:pt>
                <c:pt idx="1">
                  <c:v>Medium</c:v>
                </c:pt>
                <c:pt idx="2">
                  <c:v>Medium-Large</c:v>
                </c:pt>
                <c:pt idx="3">
                  <c:v>Large</c:v>
                </c:pt>
                <c:pt idx="4">
                  <c:v>Extra-Large</c:v>
                </c:pt>
              </c:strCache>
            </c:strRef>
          </c:cat>
          <c:val>
            <c:numRef>
              <c:f>Pivot!$J$4:$J$8</c:f>
              <c:numCache>
                <c:formatCode>General</c:formatCode>
                <c:ptCount val="5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67-4C99-B45C-B3CE491BCE25}"/>
            </c:ext>
          </c:extLst>
        </c:ser>
        <c:ser>
          <c:idx val="9"/>
          <c:order val="9"/>
          <c:tx>
            <c:strRef>
              <c:f>Pivot!$K$2:$K$3</c:f>
              <c:strCache>
                <c:ptCount val="1"/>
                <c:pt idx="0">
                  <c:v>12 years  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Pivot!$A$4:$A$8</c:f>
              <c:strCache>
                <c:ptCount val="5"/>
                <c:pt idx="0">
                  <c:v>Small</c:v>
                </c:pt>
                <c:pt idx="1">
                  <c:v>Medium</c:v>
                </c:pt>
                <c:pt idx="2">
                  <c:v>Medium-Large</c:v>
                </c:pt>
                <c:pt idx="3">
                  <c:v>Large</c:v>
                </c:pt>
                <c:pt idx="4">
                  <c:v>Extra-Large</c:v>
                </c:pt>
              </c:strCache>
            </c:strRef>
          </c:cat>
          <c:val>
            <c:numRef>
              <c:f>Pivot!$K$4:$K$8</c:f>
              <c:numCache>
                <c:formatCode>General</c:formatCode>
                <c:ptCount val="5"/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667-4C99-B45C-B3CE491BCE25}"/>
            </c:ext>
          </c:extLst>
        </c:ser>
        <c:ser>
          <c:idx val="10"/>
          <c:order val="10"/>
          <c:tx>
            <c:strRef>
              <c:f>Pivot!$L$2:$L$3</c:f>
              <c:strCache>
                <c:ptCount val="1"/>
                <c:pt idx="0">
                  <c:v>18 years 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Pivot!$A$4:$A$8</c:f>
              <c:strCache>
                <c:ptCount val="5"/>
                <c:pt idx="0">
                  <c:v>Small</c:v>
                </c:pt>
                <c:pt idx="1">
                  <c:v>Medium</c:v>
                </c:pt>
                <c:pt idx="2">
                  <c:v>Medium-Large</c:v>
                </c:pt>
                <c:pt idx="3">
                  <c:v>Large</c:v>
                </c:pt>
                <c:pt idx="4">
                  <c:v>Extra-Large</c:v>
                </c:pt>
              </c:strCache>
            </c:strRef>
          </c:cat>
          <c:val>
            <c:numRef>
              <c:f>Pivot!$L$4:$L$8</c:f>
              <c:numCache>
                <c:formatCode>General</c:formatCode>
                <c:ptCount val="5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7-4C99-B45C-B3CE491BCE25}"/>
            </c:ext>
          </c:extLst>
        </c:ser>
        <c:ser>
          <c:idx val="11"/>
          <c:order val="11"/>
          <c:tx>
            <c:strRef>
              <c:f>Pivot!$M$2:$M$3</c:f>
              <c:strCache>
                <c:ptCount val="1"/>
                <c:pt idx="0">
                  <c:v>ALL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Pivot!$A$4:$A$8</c:f>
              <c:strCache>
                <c:ptCount val="5"/>
                <c:pt idx="0">
                  <c:v>Small</c:v>
                </c:pt>
                <c:pt idx="1">
                  <c:v>Medium</c:v>
                </c:pt>
                <c:pt idx="2">
                  <c:v>Medium-Large</c:v>
                </c:pt>
                <c:pt idx="3">
                  <c:v>Large</c:v>
                </c:pt>
                <c:pt idx="4">
                  <c:v>Extra-Large</c:v>
                </c:pt>
              </c:strCache>
            </c:strRef>
          </c:cat>
          <c:val>
            <c:numRef>
              <c:f>Pivot!$M$4:$M$8</c:f>
              <c:numCache>
                <c:formatCode>General</c:formatCode>
                <c:ptCount val="5"/>
                <c:pt idx="1">
                  <c:v>1</c:v>
                </c:pt>
                <c:pt idx="2">
                  <c:v>52</c:v>
                </c:pt>
                <c:pt idx="3">
                  <c:v>16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7-4C99-B45C-B3CE491BC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4059935"/>
        <c:axId val="1068387791"/>
        <c:axId val="0"/>
      </c:bar3DChart>
      <c:catAx>
        <c:axId val="114059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8387791"/>
        <c:crosses val="autoZero"/>
        <c:auto val="1"/>
        <c:lblAlgn val="ctr"/>
        <c:lblOffset val="100"/>
        <c:noMultiLvlLbl val="0"/>
      </c:catAx>
      <c:valAx>
        <c:axId val="1068387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059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02296587926506"/>
          <c:y val="0.11615740740740743"/>
          <c:w val="0.14831036745406825"/>
          <c:h val="0.873848060659084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[best sellin books 2023.xlsm]Pivot!PivotTable2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B0F0"/>
                </a:solidFill>
                <a:latin typeface="Arial Black" panose="020B0A04020102020204" pitchFamily="34" charset="0"/>
              </a:rPr>
              <a:t>Book</a:t>
            </a:r>
            <a:r>
              <a:rPr lang="en-US" b="1" baseline="0">
                <a:solidFill>
                  <a:srgbClr val="00B0F0"/>
                </a:solidFill>
                <a:latin typeface="Arial Black" panose="020B0A04020102020204" pitchFamily="34" charset="0"/>
              </a:rPr>
              <a:t> volume by Price Range</a:t>
            </a:r>
            <a:endParaRPr lang="en-US" b="1">
              <a:solidFill>
                <a:srgbClr val="00B0F0"/>
              </a:solid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"/>
        <c:spPr>
          <a:solidFill>
            <a:srgbClr val="92D050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"/>
        <c:spPr>
          <a:solidFill>
            <a:srgbClr val="7030A0"/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percentStacked"/>
        <c:varyColors val="0"/>
        <c:ser>
          <c:idx val="0"/>
          <c:order val="0"/>
          <c:tx>
            <c:strRef>
              <c:f>Pivot!$B$12:$B$13</c:f>
              <c:strCache>
                <c:ptCount val="1"/>
                <c:pt idx="0">
                  <c:v>Cheap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Pivot!$A$14:$A$18</c:f>
              <c:strCache>
                <c:ptCount val="5"/>
                <c:pt idx="0">
                  <c:v>Small</c:v>
                </c:pt>
                <c:pt idx="1">
                  <c:v>Medium</c:v>
                </c:pt>
                <c:pt idx="2">
                  <c:v>Medium-Large</c:v>
                </c:pt>
                <c:pt idx="3">
                  <c:v>Large</c:v>
                </c:pt>
                <c:pt idx="4">
                  <c:v>Extra-Large</c:v>
                </c:pt>
              </c:strCache>
            </c:strRef>
          </c:cat>
          <c:val>
            <c:numRef>
              <c:f>Pivot!$B$14:$B$18</c:f>
              <c:numCache>
                <c:formatCode>General</c:formatCode>
                <c:ptCount val="5"/>
                <c:pt idx="0">
                  <c:v>13</c:v>
                </c:pt>
                <c:pt idx="1">
                  <c:v>1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32-4490-969C-9439890FC8CA}"/>
            </c:ext>
          </c:extLst>
        </c:ser>
        <c:ser>
          <c:idx val="1"/>
          <c:order val="1"/>
          <c:tx>
            <c:strRef>
              <c:f>Pivot!$C$12:$C$13</c:f>
              <c:strCache>
                <c:ptCount val="1"/>
                <c:pt idx="0">
                  <c:v>Affordable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Pivot!$A$14:$A$18</c:f>
              <c:strCache>
                <c:ptCount val="5"/>
                <c:pt idx="0">
                  <c:v>Small</c:v>
                </c:pt>
                <c:pt idx="1">
                  <c:v>Medium</c:v>
                </c:pt>
                <c:pt idx="2">
                  <c:v>Medium-Large</c:v>
                </c:pt>
                <c:pt idx="3">
                  <c:v>Large</c:v>
                </c:pt>
                <c:pt idx="4">
                  <c:v>Extra-Large</c:v>
                </c:pt>
              </c:strCache>
            </c:strRef>
          </c:cat>
          <c:val>
            <c:numRef>
              <c:f>Pivot!$C$14:$C$18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42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32-4490-969C-9439890FC8CA}"/>
            </c:ext>
          </c:extLst>
        </c:ser>
        <c:ser>
          <c:idx val="2"/>
          <c:order val="2"/>
          <c:tx>
            <c:strRef>
              <c:f>Pivot!$D$12:$D$13</c:f>
              <c:strCache>
                <c:ptCount val="1"/>
                <c:pt idx="0">
                  <c:v>Costly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  <a:sp3d/>
          </c:spPr>
          <c:invertIfNegative val="0"/>
          <c:cat>
            <c:strRef>
              <c:f>Pivot!$A$14:$A$18</c:f>
              <c:strCache>
                <c:ptCount val="5"/>
                <c:pt idx="0">
                  <c:v>Small</c:v>
                </c:pt>
                <c:pt idx="1">
                  <c:v>Medium</c:v>
                </c:pt>
                <c:pt idx="2">
                  <c:v>Medium-Large</c:v>
                </c:pt>
                <c:pt idx="3">
                  <c:v>Large</c:v>
                </c:pt>
                <c:pt idx="4">
                  <c:v>Extra-Large</c:v>
                </c:pt>
              </c:strCache>
            </c:strRef>
          </c:cat>
          <c:val>
            <c:numRef>
              <c:f>Pivot!$D$14:$D$18</c:f>
              <c:numCache>
                <c:formatCode>General</c:formatCode>
                <c:ptCount val="5"/>
                <c:pt idx="1">
                  <c:v>1</c:v>
                </c:pt>
                <c:pt idx="2">
                  <c:v>8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32-4490-969C-9439890FC8CA}"/>
            </c:ext>
          </c:extLst>
        </c:ser>
        <c:ser>
          <c:idx val="3"/>
          <c:order val="3"/>
          <c:tx>
            <c:strRef>
              <c:f>Pivot!$E$12:$E$13</c:f>
              <c:strCache>
                <c:ptCount val="1"/>
                <c:pt idx="0">
                  <c:v>Very Costly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Pivot!$A$14:$A$18</c:f>
              <c:strCache>
                <c:ptCount val="5"/>
                <c:pt idx="0">
                  <c:v>Small</c:v>
                </c:pt>
                <c:pt idx="1">
                  <c:v>Medium</c:v>
                </c:pt>
                <c:pt idx="2">
                  <c:v>Medium-Large</c:v>
                </c:pt>
                <c:pt idx="3">
                  <c:v>Large</c:v>
                </c:pt>
                <c:pt idx="4">
                  <c:v>Extra-Large</c:v>
                </c:pt>
              </c:strCache>
            </c:strRef>
          </c:cat>
          <c:val>
            <c:numRef>
              <c:f>Pivot!$E$14:$E$18</c:f>
              <c:numCache>
                <c:formatCode>General</c:formatCode>
                <c:ptCount val="5"/>
                <c:pt idx="1">
                  <c:v>1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32-4490-969C-9439890FC8CA}"/>
            </c:ext>
          </c:extLst>
        </c:ser>
        <c:ser>
          <c:idx val="4"/>
          <c:order val="4"/>
          <c:tx>
            <c:strRef>
              <c:f>Pivot!$F$12:$F$13</c:f>
              <c:strCache>
                <c:ptCount val="1"/>
                <c:pt idx="0">
                  <c:v>Extremely Costly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  <a:sp3d/>
          </c:spPr>
          <c:invertIfNegative val="0"/>
          <c:cat>
            <c:strRef>
              <c:f>Pivot!$A$14:$A$18</c:f>
              <c:strCache>
                <c:ptCount val="5"/>
                <c:pt idx="0">
                  <c:v>Small</c:v>
                </c:pt>
                <c:pt idx="1">
                  <c:v>Medium</c:v>
                </c:pt>
                <c:pt idx="2">
                  <c:v>Medium-Large</c:v>
                </c:pt>
                <c:pt idx="3">
                  <c:v>Large</c:v>
                </c:pt>
                <c:pt idx="4">
                  <c:v>Extra-Large</c:v>
                </c:pt>
              </c:strCache>
            </c:strRef>
          </c:cat>
          <c:val>
            <c:numRef>
              <c:f>Pivot!$F$14:$F$18</c:f>
              <c:numCache>
                <c:formatCode>General</c:formatCode>
                <c:ptCount val="5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32-4490-969C-9439890FC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60860095"/>
        <c:axId val="1306458335"/>
        <c:axId val="0"/>
      </c:bar3DChart>
      <c:catAx>
        <c:axId val="136086009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458335"/>
        <c:crosses val="autoZero"/>
        <c:auto val="1"/>
        <c:lblAlgn val="ctr"/>
        <c:lblOffset val="100"/>
        <c:noMultiLvlLbl val="0"/>
      </c:catAx>
      <c:valAx>
        <c:axId val="1306458335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360860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[best sellin books 2023.xlsm]Pivot!PivotTable3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00B0F0"/>
                </a:solidFill>
                <a:latin typeface="Arial Black" panose="020B0A04020102020204" pitchFamily="34" charset="0"/>
              </a:rPr>
              <a:t>Publishing</a:t>
            </a:r>
            <a:r>
              <a:rPr lang="en-US" baseline="0">
                <a:solidFill>
                  <a:srgbClr val="00B0F0"/>
                </a:solidFill>
                <a:latin typeface="Arial Black" panose="020B0A04020102020204" pitchFamily="34" charset="0"/>
              </a:rPr>
              <a:t> Year Count</a:t>
            </a:r>
            <a:endParaRPr lang="en-US">
              <a:solidFill>
                <a:srgbClr val="00B0F0"/>
              </a:solid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31750" cap="rnd">
            <a:solidFill>
              <a:schemeClr val="accent6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6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Pivot!$B$21</c:f>
              <c:strCache>
                <c:ptCount val="1"/>
                <c:pt idx="0">
                  <c:v>Total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Pivot!$A$22:$A$45</c:f>
              <c:strCache>
                <c:ptCount val="24"/>
                <c:pt idx="0">
                  <c:v>1990</c:v>
                </c:pt>
                <c:pt idx="1">
                  <c:v>1991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2000</c:v>
                </c:pt>
                <c:pt idx="8">
                  <c:v>2003</c:v>
                </c:pt>
                <c:pt idx="9">
                  <c:v>2006</c:v>
                </c:pt>
                <c:pt idx="10">
                  <c:v>2007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  <c:pt idx="21">
                  <c:v>2022</c:v>
                </c:pt>
                <c:pt idx="22">
                  <c:v>2023</c:v>
                </c:pt>
                <c:pt idx="23">
                  <c:v>2024</c:v>
                </c:pt>
              </c:strCache>
            </c:strRef>
          </c:cat>
          <c:val>
            <c:numRef>
              <c:f>Pivot!$B$22:$B$45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4</c:v>
                </c:pt>
                <c:pt idx="16">
                  <c:v>2</c:v>
                </c:pt>
                <c:pt idx="17">
                  <c:v>8</c:v>
                </c:pt>
                <c:pt idx="18">
                  <c:v>6</c:v>
                </c:pt>
                <c:pt idx="19">
                  <c:v>7</c:v>
                </c:pt>
                <c:pt idx="20">
                  <c:v>5</c:v>
                </c:pt>
                <c:pt idx="21">
                  <c:v>16</c:v>
                </c:pt>
                <c:pt idx="22">
                  <c:v>26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9D-4DB0-A34B-D9D01CB393B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10593263"/>
        <c:axId val="1614774223"/>
      </c:lineChart>
      <c:catAx>
        <c:axId val="1610593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5400000" spcFirstLastPara="1" vertOverflow="ellipsis" wrap="square" anchor="b" anchorCtr="0"/>
          <a:lstStyle/>
          <a:p>
            <a:pPr>
              <a:defRPr sz="9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4774223"/>
        <c:crosses val="autoZero"/>
        <c:auto val="1"/>
        <c:lblAlgn val="ctr"/>
        <c:lblOffset val="100"/>
        <c:noMultiLvlLbl val="0"/>
      </c:catAx>
      <c:valAx>
        <c:axId val="161477422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10593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[best sellin books 2023.xlsm]Pivot!PivotTable4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B0F0"/>
                </a:solidFill>
                <a:latin typeface="Arial Black" panose="020B0A04020102020204" pitchFamily="34" charset="0"/>
              </a:rPr>
              <a:t>Book</a:t>
            </a:r>
            <a:r>
              <a:rPr lang="en-US" b="1" baseline="0">
                <a:solidFill>
                  <a:srgbClr val="00B0F0"/>
                </a:solidFill>
                <a:latin typeface="Arial Black" panose="020B0A04020102020204" pitchFamily="34" charset="0"/>
              </a:rPr>
              <a:t> Genre Count</a:t>
            </a:r>
            <a:endParaRPr lang="en-US" b="1">
              <a:solidFill>
                <a:srgbClr val="00B0F0"/>
              </a:solid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gradFill>
              <a:gsLst>
                <a:gs pos="29000">
                  <a:srgbClr val="00B0F0"/>
                </a:gs>
                <a:gs pos="95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Pivot!$B$47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gradFill>
                <a:gsLst>
                  <a:gs pos="29000">
                    <a:srgbClr val="00B0F0"/>
                  </a:gs>
                  <a:gs pos="95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Pivot!$A$48:$A$62</c:f>
              <c:strCache>
                <c:ptCount val="15"/>
                <c:pt idx="0">
                  <c:v>Fiction &amp; Action &amp; Adventure</c:v>
                </c:pt>
                <c:pt idx="1">
                  <c:v>Reading &amp; Writing</c:v>
                </c:pt>
                <c:pt idx="2">
                  <c:v>Self-Improvement</c:v>
                </c:pt>
                <c:pt idx="3">
                  <c:v>Biographies &amp; Memoirs</c:v>
                </c:pt>
                <c:pt idx="4">
                  <c:v>Mystery &amp; Thriller &amp; Suspense</c:v>
                </c:pt>
                <c:pt idx="5">
                  <c:v>Health &amp; Fitness &amp; Dieting</c:v>
                </c:pt>
                <c:pt idx="6">
                  <c:v>Business &amp; Money</c:v>
                </c:pt>
                <c:pt idx="7">
                  <c:v>Politics &amp; Social Sciences</c:v>
                </c:pt>
                <c:pt idx="8">
                  <c:v>Cookbooks &amp; Food</c:v>
                </c:pt>
                <c:pt idx="9">
                  <c:v>Arts &amp; Music &amp; Photography</c:v>
                </c:pt>
                <c:pt idx="10">
                  <c:v>Comics &amp; Graphic Novels</c:v>
                </c:pt>
                <c:pt idx="11">
                  <c:v>Computers &amp; Technology</c:v>
                </c:pt>
                <c:pt idx="12">
                  <c:v>Romance</c:v>
                </c:pt>
                <c:pt idx="13">
                  <c:v>Humor &amp; Entertainment</c:v>
                </c:pt>
                <c:pt idx="14">
                  <c:v>Puzzles &amp; Games</c:v>
                </c:pt>
              </c:strCache>
            </c:strRef>
          </c:cat>
          <c:val>
            <c:numRef>
              <c:f>Pivot!$B$48:$B$62</c:f>
              <c:numCache>
                <c:formatCode>General</c:formatCode>
                <c:ptCount val="15"/>
                <c:pt idx="0">
                  <c:v>33</c:v>
                </c:pt>
                <c:pt idx="1">
                  <c:v>17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6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C4-4B3D-9DDC-FAB66CEDC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360857695"/>
        <c:axId val="1068404015"/>
      </c:barChart>
      <c:catAx>
        <c:axId val="136085769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8404015"/>
        <c:crosses val="autoZero"/>
        <c:auto val="1"/>
        <c:lblAlgn val="ctr"/>
        <c:lblOffset val="100"/>
        <c:noMultiLvlLbl val="0"/>
      </c:catAx>
      <c:valAx>
        <c:axId val="1068404015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3608576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[best sellin books 2023.xlsm]Pivot!PivotTable5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B0F0"/>
                </a:solidFill>
                <a:latin typeface="Arial Black" panose="020B0A04020102020204" pitchFamily="34" charset="0"/>
              </a:rPr>
              <a:t>Printing</a:t>
            </a:r>
            <a:r>
              <a:rPr lang="en-US" b="1" baseline="0">
                <a:solidFill>
                  <a:srgbClr val="00B0F0"/>
                </a:solidFill>
                <a:latin typeface="Arial Black" panose="020B0A04020102020204" pitchFamily="34" charset="0"/>
              </a:rPr>
              <a:t> Form by Age Bracket</a:t>
            </a:r>
            <a:endParaRPr lang="en-US" b="1">
              <a:solidFill>
                <a:srgbClr val="00B0F0"/>
              </a:solid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0"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 w="3175"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Pivot!$B$66:$B$67</c:f>
              <c:strCache>
                <c:ptCount val="1"/>
                <c:pt idx="0">
                  <c:v>Baby 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Pivot!$A$68:$A$70</c:f>
              <c:strCache>
                <c:ptCount val="3"/>
                <c:pt idx="0">
                  <c:v>Board book</c:v>
                </c:pt>
                <c:pt idx="1">
                  <c:v>Hardcover</c:v>
                </c:pt>
                <c:pt idx="2">
                  <c:v>Paperback</c:v>
                </c:pt>
              </c:strCache>
            </c:strRef>
          </c:cat>
          <c:val>
            <c:numRef>
              <c:f>Pivot!$B$68:$B$70</c:f>
              <c:numCache>
                <c:formatCode>General</c:formatCode>
                <c:ptCount val="3"/>
                <c:pt idx="0">
                  <c:v>4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42-498C-AC17-06283EDE716C}"/>
            </c:ext>
          </c:extLst>
        </c:ser>
        <c:ser>
          <c:idx val="1"/>
          <c:order val="1"/>
          <c:tx>
            <c:strRef>
              <c:f>Pivot!$C$66:$C$67</c:f>
              <c:strCache>
                <c:ptCount val="1"/>
                <c:pt idx="0">
                  <c:v>1 year 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Pivot!$A$68:$A$70</c:f>
              <c:strCache>
                <c:ptCount val="3"/>
                <c:pt idx="0">
                  <c:v>Board book</c:v>
                </c:pt>
                <c:pt idx="1">
                  <c:v>Hardcover</c:v>
                </c:pt>
                <c:pt idx="2">
                  <c:v>Paperback</c:v>
                </c:pt>
              </c:strCache>
            </c:strRef>
          </c:cat>
          <c:val>
            <c:numRef>
              <c:f>Pivot!$C$68:$C$70</c:f>
              <c:numCache>
                <c:formatCode>General</c:formatCode>
                <c:ptCount val="3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42-498C-AC17-06283EDE716C}"/>
            </c:ext>
          </c:extLst>
        </c:ser>
        <c:ser>
          <c:idx val="2"/>
          <c:order val="2"/>
          <c:tx>
            <c:strRef>
              <c:f>Pivot!$D$66:$D$67</c:f>
              <c:strCache>
                <c:ptCount val="1"/>
                <c:pt idx="0">
                  <c:v>1 - 2 years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Pivot!$A$68:$A$70</c:f>
              <c:strCache>
                <c:ptCount val="3"/>
                <c:pt idx="0">
                  <c:v>Board book</c:v>
                </c:pt>
                <c:pt idx="1">
                  <c:v>Hardcover</c:v>
                </c:pt>
                <c:pt idx="2">
                  <c:v>Paperback</c:v>
                </c:pt>
              </c:strCache>
            </c:strRef>
          </c:cat>
          <c:val>
            <c:numRef>
              <c:f>Pivot!$D$68:$D$70</c:f>
              <c:numCache>
                <c:formatCode>General</c:formatCode>
                <c:ptCount val="3"/>
                <c:pt idx="0">
                  <c:v>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42-498C-AC17-06283EDE716C}"/>
            </c:ext>
          </c:extLst>
        </c:ser>
        <c:ser>
          <c:idx val="3"/>
          <c:order val="3"/>
          <c:tx>
            <c:strRef>
              <c:f>Pivot!$E$66:$E$67</c:f>
              <c:strCache>
                <c:ptCount val="1"/>
                <c:pt idx="0">
                  <c:v>2 years 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Pivot!$A$68:$A$70</c:f>
              <c:strCache>
                <c:ptCount val="3"/>
                <c:pt idx="0">
                  <c:v>Board book</c:v>
                </c:pt>
                <c:pt idx="1">
                  <c:v>Hardcover</c:v>
                </c:pt>
                <c:pt idx="2">
                  <c:v>Paperback</c:v>
                </c:pt>
              </c:strCache>
            </c:strRef>
          </c:cat>
          <c:val>
            <c:numRef>
              <c:f>Pivot!$E$68:$E$70</c:f>
              <c:numCache>
                <c:formatCode>General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42-498C-AC17-06283EDE716C}"/>
            </c:ext>
          </c:extLst>
        </c:ser>
        <c:ser>
          <c:idx val="4"/>
          <c:order val="4"/>
          <c:tx>
            <c:strRef>
              <c:f>Pivot!$F$66:$F$67</c:f>
              <c:strCache>
                <c:ptCount val="1"/>
                <c:pt idx="0">
                  <c:v>3 years 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Pivot!$A$68:$A$70</c:f>
              <c:strCache>
                <c:ptCount val="3"/>
                <c:pt idx="0">
                  <c:v>Board book</c:v>
                </c:pt>
                <c:pt idx="1">
                  <c:v>Hardcover</c:v>
                </c:pt>
                <c:pt idx="2">
                  <c:v>Paperback</c:v>
                </c:pt>
              </c:strCache>
            </c:strRef>
          </c:cat>
          <c:val>
            <c:numRef>
              <c:f>Pivot!$F$68:$F$70</c:f>
              <c:numCache>
                <c:formatCode>General</c:formatCode>
                <c:ptCount val="3"/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42-498C-AC17-06283EDE716C}"/>
            </c:ext>
          </c:extLst>
        </c:ser>
        <c:ser>
          <c:idx val="5"/>
          <c:order val="5"/>
          <c:tx>
            <c:strRef>
              <c:f>Pivot!$G$66:$G$67</c:f>
              <c:strCache>
                <c:ptCount val="1"/>
                <c:pt idx="0">
                  <c:v>3 - 4 years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Pivot!$A$68:$A$70</c:f>
              <c:strCache>
                <c:ptCount val="3"/>
                <c:pt idx="0">
                  <c:v>Board book</c:v>
                </c:pt>
                <c:pt idx="1">
                  <c:v>Hardcover</c:v>
                </c:pt>
                <c:pt idx="2">
                  <c:v>Paperback</c:v>
                </c:pt>
              </c:strCache>
            </c:strRef>
          </c:cat>
          <c:val>
            <c:numRef>
              <c:f>Pivot!$G$68:$G$70</c:f>
              <c:numCache>
                <c:formatCode>General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842-498C-AC17-06283EDE716C}"/>
            </c:ext>
          </c:extLst>
        </c:ser>
        <c:ser>
          <c:idx val="6"/>
          <c:order val="6"/>
          <c:tx>
            <c:strRef>
              <c:f>Pivot!$H$66:$H$67</c:f>
              <c:strCache>
                <c:ptCount val="1"/>
                <c:pt idx="0">
                  <c:v>5 years  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Pivot!$A$68:$A$70</c:f>
              <c:strCache>
                <c:ptCount val="3"/>
                <c:pt idx="0">
                  <c:v>Board book</c:v>
                </c:pt>
                <c:pt idx="1">
                  <c:v>Hardcover</c:v>
                </c:pt>
                <c:pt idx="2">
                  <c:v>Paperback</c:v>
                </c:pt>
              </c:strCache>
            </c:strRef>
          </c:cat>
          <c:val>
            <c:numRef>
              <c:f>Pivot!$H$68:$H$70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842-498C-AC17-06283EDE716C}"/>
            </c:ext>
          </c:extLst>
        </c:ser>
        <c:ser>
          <c:idx val="7"/>
          <c:order val="7"/>
          <c:tx>
            <c:strRef>
              <c:f>Pivot!$I$66:$I$67</c:f>
              <c:strCache>
                <c:ptCount val="1"/>
                <c:pt idx="0">
                  <c:v>7 years 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Pivot!$A$68:$A$70</c:f>
              <c:strCache>
                <c:ptCount val="3"/>
                <c:pt idx="0">
                  <c:v>Board book</c:v>
                </c:pt>
                <c:pt idx="1">
                  <c:v>Hardcover</c:v>
                </c:pt>
                <c:pt idx="2">
                  <c:v>Paperback</c:v>
                </c:pt>
              </c:strCache>
            </c:strRef>
          </c:cat>
          <c:val>
            <c:numRef>
              <c:f>Pivot!$I$68:$I$70</c:f>
              <c:numCache>
                <c:formatCode>General</c:formatCode>
                <c:ptCount val="3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842-498C-AC17-06283EDE716C}"/>
            </c:ext>
          </c:extLst>
        </c:ser>
        <c:ser>
          <c:idx val="8"/>
          <c:order val="8"/>
          <c:tx>
            <c:strRef>
              <c:f>Pivot!$J$66:$J$67</c:f>
              <c:strCache>
                <c:ptCount val="1"/>
                <c:pt idx="0">
                  <c:v>8 years 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Pivot!$A$68:$A$70</c:f>
              <c:strCache>
                <c:ptCount val="3"/>
                <c:pt idx="0">
                  <c:v>Board book</c:v>
                </c:pt>
                <c:pt idx="1">
                  <c:v>Hardcover</c:v>
                </c:pt>
                <c:pt idx="2">
                  <c:v>Paperback</c:v>
                </c:pt>
              </c:strCache>
            </c:strRef>
          </c:cat>
          <c:val>
            <c:numRef>
              <c:f>Pivot!$J$68:$J$70</c:f>
              <c:numCache>
                <c:formatCode>General</c:formatCode>
                <c:ptCount val="3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842-498C-AC17-06283EDE716C}"/>
            </c:ext>
          </c:extLst>
        </c:ser>
        <c:ser>
          <c:idx val="9"/>
          <c:order val="9"/>
          <c:tx>
            <c:strRef>
              <c:f>Pivot!$K$66:$K$67</c:f>
              <c:strCache>
                <c:ptCount val="1"/>
                <c:pt idx="0">
                  <c:v>12 years  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Pivot!$A$68:$A$70</c:f>
              <c:strCache>
                <c:ptCount val="3"/>
                <c:pt idx="0">
                  <c:v>Board book</c:v>
                </c:pt>
                <c:pt idx="1">
                  <c:v>Hardcover</c:v>
                </c:pt>
                <c:pt idx="2">
                  <c:v>Paperback</c:v>
                </c:pt>
              </c:strCache>
            </c:strRef>
          </c:cat>
          <c:val>
            <c:numRef>
              <c:f>Pivot!$K$68:$K$70</c:f>
              <c:numCache>
                <c:formatCode>General</c:formatCode>
                <c:ptCount val="3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842-498C-AC17-06283EDE716C}"/>
            </c:ext>
          </c:extLst>
        </c:ser>
        <c:ser>
          <c:idx val="10"/>
          <c:order val="10"/>
          <c:tx>
            <c:strRef>
              <c:f>Pivot!$L$66:$L$67</c:f>
              <c:strCache>
                <c:ptCount val="1"/>
                <c:pt idx="0">
                  <c:v>18 years 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Pivot!$A$68:$A$70</c:f>
              <c:strCache>
                <c:ptCount val="3"/>
                <c:pt idx="0">
                  <c:v>Board book</c:v>
                </c:pt>
                <c:pt idx="1">
                  <c:v>Hardcover</c:v>
                </c:pt>
                <c:pt idx="2">
                  <c:v>Paperback</c:v>
                </c:pt>
              </c:strCache>
            </c:strRef>
          </c:cat>
          <c:val>
            <c:numRef>
              <c:f>Pivot!$L$68:$L$70</c:f>
              <c:numCache>
                <c:formatCode>General</c:formatCode>
                <c:ptCount val="3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842-498C-AC17-06283EDE716C}"/>
            </c:ext>
          </c:extLst>
        </c:ser>
        <c:ser>
          <c:idx val="11"/>
          <c:order val="11"/>
          <c:tx>
            <c:strRef>
              <c:f>Pivot!$M$66:$M$67</c:f>
              <c:strCache>
                <c:ptCount val="1"/>
                <c:pt idx="0">
                  <c:v>ALL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0">
              <a:noFill/>
            </a:ln>
            <a:effectLst/>
            <a:sp3d/>
          </c:spPr>
          <c:invertIfNegative val="0"/>
          <c:cat>
            <c:strRef>
              <c:f>Pivot!$A$68:$A$70</c:f>
              <c:strCache>
                <c:ptCount val="3"/>
                <c:pt idx="0">
                  <c:v>Board book</c:v>
                </c:pt>
                <c:pt idx="1">
                  <c:v>Hardcover</c:v>
                </c:pt>
                <c:pt idx="2">
                  <c:v>Paperback</c:v>
                </c:pt>
              </c:strCache>
            </c:strRef>
          </c:cat>
          <c:val>
            <c:numRef>
              <c:f>Pivot!$M$68:$M$70</c:f>
              <c:numCache>
                <c:formatCode>General</c:formatCode>
                <c:ptCount val="3"/>
                <c:pt idx="0">
                  <c:v>1</c:v>
                </c:pt>
                <c:pt idx="1">
                  <c:v>24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842-498C-AC17-06283EDE7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7"/>
        <c:shape val="box"/>
        <c:axId val="618122032"/>
        <c:axId val="609232288"/>
        <c:axId val="0"/>
      </c:bar3DChart>
      <c:catAx>
        <c:axId val="61812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232288"/>
        <c:crosses val="autoZero"/>
        <c:auto val="1"/>
        <c:lblAlgn val="ctr"/>
        <c:lblOffset val="100"/>
        <c:noMultiLvlLbl val="0"/>
      </c:catAx>
      <c:valAx>
        <c:axId val="609232288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618122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391185476815383"/>
          <c:y val="0.1212354184893555"/>
          <c:w val="0.22331036745406821"/>
          <c:h val="0.859381014873140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212725</xdr:colOff>
      <xdr:row>0</xdr:row>
      <xdr:rowOff>120650</xdr:rowOff>
    </xdr:from>
    <xdr:to>
      <xdr:col>21</xdr:col>
      <xdr:colOff>581025</xdr:colOff>
      <xdr:row>15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1F0C912-2519-4E42-86E0-9F1DDB6DDC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174625</xdr:colOff>
      <xdr:row>15</xdr:row>
      <xdr:rowOff>165100</xdr:rowOff>
    </xdr:from>
    <xdr:to>
      <xdr:col>21</xdr:col>
      <xdr:colOff>542925</xdr:colOff>
      <xdr:row>30</xdr:row>
      <xdr:rowOff>146050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19BA861-51BC-4707-86D9-39883B268E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466722</xdr:colOff>
      <xdr:row>22</xdr:row>
      <xdr:rowOff>0</xdr:rowOff>
    </xdr:from>
    <xdr:to>
      <xdr:col>14</xdr:col>
      <xdr:colOff>388936</xdr:colOff>
      <xdr:row>36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C4D15C2-5031-448C-B101-8FAE8231D2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550861</xdr:colOff>
      <xdr:row>38</xdr:row>
      <xdr:rowOff>84138</xdr:rowOff>
    </xdr:from>
    <xdr:to>
      <xdr:col>13</xdr:col>
      <xdr:colOff>111125</xdr:colOff>
      <xdr:row>56</xdr:row>
      <xdr:rowOff>95251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CDD16EA-7964-431D-BEA7-A9B1414CFF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99218</xdr:colOff>
      <xdr:row>59</xdr:row>
      <xdr:rowOff>13493</xdr:rowOff>
    </xdr:from>
    <xdr:to>
      <xdr:col>19</xdr:col>
      <xdr:colOff>297656</xdr:colOff>
      <xdr:row>74</xdr:row>
      <xdr:rowOff>18256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AB0E5E4-695B-468B-84F4-35FB2EDBC9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261937</xdr:colOff>
      <xdr:row>78</xdr:row>
      <xdr:rowOff>71438</xdr:rowOff>
    </xdr:from>
    <xdr:to>
      <xdr:col>13</xdr:col>
      <xdr:colOff>325437</xdr:colOff>
      <xdr:row>82</xdr:row>
      <xdr:rowOff>103188</xdr:rowOff>
    </xdr:to>
    <xdr:sp macro="" textlink="$B$78">
      <xdr:nvSpPr>
        <xdr:cNvPr id="7" name="Rectangle 6">
          <a:extLst>
            <a:ext uri="{FF2B5EF4-FFF2-40B4-BE49-F238E27FC236}">
              <a16:creationId xmlns:a16="http://schemas.microsoft.com/office/drawing/2014/main" id="{8801B2B9-FEC4-419A-9D16-689E8B6420AB}"/>
            </a:ext>
          </a:extLst>
        </xdr:cNvPr>
        <xdr:cNvSpPr/>
      </xdr:nvSpPr>
      <xdr:spPr>
        <a:xfrm>
          <a:off x="6977062" y="14311313"/>
          <a:ext cx="1635125" cy="762000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12C32275-D22F-4CCB-89E7-B79E228DA1C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Marcus Aurelius</a:t>
          </a:fld>
          <a:endParaRPr lang="en-US" sz="1100"/>
        </a:p>
      </xdr:txBody>
    </xdr:sp>
    <xdr:clientData/>
  </xdr:twoCellAnchor>
  <xdr:twoCellAnchor>
    <xdr:from>
      <xdr:col>14</xdr:col>
      <xdr:colOff>309563</xdr:colOff>
      <xdr:row>78</xdr:row>
      <xdr:rowOff>95251</xdr:rowOff>
    </xdr:from>
    <xdr:to>
      <xdr:col>16</xdr:col>
      <xdr:colOff>357188</xdr:colOff>
      <xdr:row>82</xdr:row>
      <xdr:rowOff>127001</xdr:rowOff>
    </xdr:to>
    <xdr:sp macro="" textlink="$C$78">
      <xdr:nvSpPr>
        <xdr:cNvPr id="8" name="Rectangle 7">
          <a:extLst>
            <a:ext uri="{FF2B5EF4-FFF2-40B4-BE49-F238E27FC236}">
              <a16:creationId xmlns:a16="http://schemas.microsoft.com/office/drawing/2014/main" id="{330C7A4C-3FC0-443D-B4A7-1B397B5BE250}"/>
            </a:ext>
          </a:extLst>
        </xdr:cNvPr>
        <xdr:cNvSpPr/>
      </xdr:nvSpPr>
      <xdr:spPr>
        <a:xfrm>
          <a:off x="9017001" y="14335126"/>
          <a:ext cx="1635125" cy="762000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CD797354-8D4F-4990-980C-6B0136B073D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Paperback</a:t>
          </a:fld>
          <a:endParaRPr lang="en-US" sz="1100"/>
        </a:p>
      </xdr:txBody>
    </xdr:sp>
    <xdr:clientData/>
  </xdr:twoCellAnchor>
  <xdr:twoCellAnchor>
    <xdr:from>
      <xdr:col>16</xdr:col>
      <xdr:colOff>674688</xdr:colOff>
      <xdr:row>78</xdr:row>
      <xdr:rowOff>150813</xdr:rowOff>
    </xdr:from>
    <xdr:to>
      <xdr:col>18</xdr:col>
      <xdr:colOff>230188</xdr:colOff>
      <xdr:row>83</xdr:row>
      <xdr:rowOff>0</xdr:rowOff>
    </xdr:to>
    <xdr:sp macro="" textlink="$D$78">
      <xdr:nvSpPr>
        <xdr:cNvPr id="9" name="Rectangle 8">
          <a:extLst>
            <a:ext uri="{FF2B5EF4-FFF2-40B4-BE49-F238E27FC236}">
              <a16:creationId xmlns:a16="http://schemas.microsoft.com/office/drawing/2014/main" id="{2BBC78E4-1F5C-4436-9541-13AE6820587E}"/>
            </a:ext>
          </a:extLst>
        </xdr:cNvPr>
        <xdr:cNvSpPr/>
      </xdr:nvSpPr>
      <xdr:spPr>
        <a:xfrm>
          <a:off x="10969626" y="14390688"/>
          <a:ext cx="1635125" cy="762000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67CF372D-CC2E-4FE0-911E-13EB7C88BC0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ALL</a:t>
          </a:fld>
          <a:endParaRPr lang="en-US" sz="1100"/>
        </a:p>
      </xdr:txBody>
    </xdr:sp>
    <xdr:clientData/>
  </xdr:twoCellAnchor>
  <xdr:twoCellAnchor>
    <xdr:from>
      <xdr:col>18</xdr:col>
      <xdr:colOff>365125</xdr:colOff>
      <xdr:row>78</xdr:row>
      <xdr:rowOff>166688</xdr:rowOff>
    </xdr:from>
    <xdr:to>
      <xdr:col>21</xdr:col>
      <xdr:colOff>373063</xdr:colOff>
      <xdr:row>83</xdr:row>
      <xdr:rowOff>15875</xdr:rowOff>
    </xdr:to>
    <xdr:sp macro="" textlink="$E$78">
      <xdr:nvSpPr>
        <xdr:cNvPr id="10" name="Rectangle 9">
          <a:extLst>
            <a:ext uri="{FF2B5EF4-FFF2-40B4-BE49-F238E27FC236}">
              <a16:creationId xmlns:a16="http://schemas.microsoft.com/office/drawing/2014/main" id="{8AA66736-3CB1-4604-9CAB-9619ED3BCC83}"/>
            </a:ext>
          </a:extLst>
        </xdr:cNvPr>
        <xdr:cNvSpPr/>
      </xdr:nvSpPr>
      <xdr:spPr>
        <a:xfrm>
          <a:off x="12739688" y="14406563"/>
          <a:ext cx="1635125" cy="762000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FE5A9855-A28F-4D1D-AC7E-29FB53F8619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Politics &amp; Social Sciences</a:t>
          </a:fld>
          <a:endParaRPr lang="en-US" sz="1100"/>
        </a:p>
      </xdr:txBody>
    </xdr:sp>
    <xdr:clientData/>
  </xdr:twoCellAnchor>
  <xdr:oneCellAnchor>
    <xdr:from>
      <xdr:col>12</xdr:col>
      <xdr:colOff>0</xdr:colOff>
      <xdr:row>88</xdr:row>
      <xdr:rowOff>119063</xdr:rowOff>
    </xdr:from>
    <xdr:ext cx="184731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F8C7F6C0-4F04-4178-9D56-574D2697A344}"/>
            </a:ext>
          </a:extLst>
        </xdr:cNvPr>
        <xdr:cNvSpPr txBox="1"/>
      </xdr:nvSpPr>
      <xdr:spPr>
        <a:xfrm>
          <a:off x="8001000" y="1618456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12</xdr:col>
      <xdr:colOff>7938</xdr:colOff>
      <xdr:row>87</xdr:row>
      <xdr:rowOff>82032</xdr:rowOff>
    </xdr:from>
    <xdr:ext cx="1897062" cy="264560"/>
    <xdr:sp macro="" textlink="$C$78">
      <xdr:nvSpPr>
        <xdr:cNvPr id="14" name="TextBox 13">
          <a:extLst>
            <a:ext uri="{FF2B5EF4-FFF2-40B4-BE49-F238E27FC236}">
              <a16:creationId xmlns:a16="http://schemas.microsoft.com/office/drawing/2014/main" id="{1B8DCBF6-97F4-4652-BF1E-52E058A0B638}"/>
            </a:ext>
          </a:extLst>
        </xdr:cNvPr>
        <xdr:cNvSpPr txBox="1"/>
      </xdr:nvSpPr>
      <xdr:spPr>
        <a:xfrm>
          <a:off x="8008938" y="15964970"/>
          <a:ext cx="1897062" cy="264560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1C78A853-04BE-486E-A587-8E71B5191B5B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Paperback</a:t>
          </a:fld>
          <a:endParaRPr lang="en-US" sz="1100" b="1"/>
        </a:p>
      </xdr:txBody>
    </xdr:sp>
    <xdr:clientData/>
  </xdr:oneCellAnchor>
  <xdr:oneCellAnchor>
    <xdr:from>
      <xdr:col>11</xdr:col>
      <xdr:colOff>619125</xdr:colOff>
      <xdr:row>88</xdr:row>
      <xdr:rowOff>176628</xdr:rowOff>
    </xdr:from>
    <xdr:ext cx="1912938" cy="264560"/>
    <xdr:sp macro="" textlink="$D$78">
      <xdr:nvSpPr>
        <xdr:cNvPr id="15" name="TextBox 14">
          <a:extLst>
            <a:ext uri="{FF2B5EF4-FFF2-40B4-BE49-F238E27FC236}">
              <a16:creationId xmlns:a16="http://schemas.microsoft.com/office/drawing/2014/main" id="{5BCB5928-C847-406F-83E9-AFF9A395AC8B}"/>
            </a:ext>
          </a:extLst>
        </xdr:cNvPr>
        <xdr:cNvSpPr txBox="1"/>
      </xdr:nvSpPr>
      <xdr:spPr>
        <a:xfrm>
          <a:off x="7993063" y="16242128"/>
          <a:ext cx="1912938" cy="264560"/>
        </a:xfrm>
        <a:prstGeom prst="rect">
          <a:avLst/>
        </a:prstGeom>
        <a:solidFill>
          <a:srgbClr val="FF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EC3D89BE-7318-423B-ACD3-E5B2835D2614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ALL</a:t>
          </a:fld>
          <a:endParaRPr lang="en-US" sz="1100" b="1"/>
        </a:p>
      </xdr:txBody>
    </xdr:sp>
    <xdr:clientData/>
  </xdr:oneCellAnchor>
  <xdr:oneCellAnchor>
    <xdr:from>
      <xdr:col>11</xdr:col>
      <xdr:colOff>619124</xdr:colOff>
      <xdr:row>90</xdr:row>
      <xdr:rowOff>87314</xdr:rowOff>
    </xdr:from>
    <xdr:ext cx="1944688" cy="420687"/>
    <xdr:sp macro="" textlink="$E$78">
      <xdr:nvSpPr>
        <xdr:cNvPr id="16" name="TextBox 15">
          <a:extLst>
            <a:ext uri="{FF2B5EF4-FFF2-40B4-BE49-F238E27FC236}">
              <a16:creationId xmlns:a16="http://schemas.microsoft.com/office/drawing/2014/main" id="{9D51108B-C42F-4F46-8CF1-996F5938918C}"/>
            </a:ext>
          </a:extLst>
        </xdr:cNvPr>
        <xdr:cNvSpPr txBox="1"/>
      </xdr:nvSpPr>
      <xdr:spPr>
        <a:xfrm>
          <a:off x="7993062" y="16517939"/>
          <a:ext cx="1944688" cy="420687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78ACE2E4-D9CF-4FFE-9DDF-D7B4CA9BDBB4}" type="TxLink">
            <a:rPr lang="en-US" sz="1050" b="1" i="0" u="none" strike="noStrike">
              <a:solidFill>
                <a:srgbClr val="000000"/>
              </a:solidFill>
              <a:latin typeface="Calibri"/>
              <a:cs typeface="Calibri"/>
            </a:rPr>
            <a:t>Politics &amp; Social Sciences</a:t>
          </a:fld>
          <a:endParaRPr lang="en-US" sz="1050" b="1"/>
        </a:p>
      </xdr:txBody>
    </xdr:sp>
    <xdr:clientData/>
  </xdr:oneCellAnchor>
  <xdr:oneCellAnchor>
    <xdr:from>
      <xdr:col>12</xdr:col>
      <xdr:colOff>15875</xdr:colOff>
      <xdr:row>85</xdr:row>
      <xdr:rowOff>166687</xdr:rowOff>
    </xdr:from>
    <xdr:ext cx="1889125" cy="272498"/>
    <xdr:sp macro="" textlink="$B$78">
      <xdr:nvSpPr>
        <xdr:cNvPr id="17" name="TextBox 16">
          <a:extLst>
            <a:ext uri="{FF2B5EF4-FFF2-40B4-BE49-F238E27FC236}">
              <a16:creationId xmlns:a16="http://schemas.microsoft.com/office/drawing/2014/main" id="{7DA9C506-6394-48B0-A612-4CA0367687EB}"/>
            </a:ext>
          </a:extLst>
        </xdr:cNvPr>
        <xdr:cNvSpPr txBox="1"/>
      </xdr:nvSpPr>
      <xdr:spPr>
        <a:xfrm>
          <a:off x="8016875" y="15684500"/>
          <a:ext cx="1889125" cy="272498"/>
        </a:xfrm>
        <a:prstGeom prst="rect">
          <a:avLst/>
        </a:prstGeom>
        <a:solidFill>
          <a:srgbClr val="92D05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209E12A4-B25E-4783-AC69-95C2F2AEFBE1}" type="TxLink"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Marcus Aurelius</a:t>
          </a:fld>
          <a:endParaRPr lang="en-US" sz="1100" b="1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080.748668749999" createdVersion="6" refreshedVersion="6" minRefreshableVersion="3" recordCount="98" xr:uid="{4C7BB020-9BF7-4B8C-ABE7-65820DBFC7A9}">
  <cacheSource type="worksheet">
    <worksheetSource name="best_sellin_books_2025"/>
  </cacheSource>
  <cacheFields count="13">
    <cacheField name="id.2" numFmtId="0">
      <sharedItems containsSemiMixedTypes="0" containsString="0" containsNumber="1" containsInteger="1" minValue="1" maxValue="100"/>
    </cacheField>
    <cacheField name="Book name" numFmtId="0">
      <sharedItems/>
    </cacheField>
    <cacheField name="Author" numFmtId="0">
      <sharedItems/>
    </cacheField>
    <cacheField name="Rating out of 5" numFmtId="0">
      <sharedItems containsSemiMixedTypes="0" containsString="0" containsNumber="1" minValue="4.0999999999999996" maxValue="4.9000000000000004"/>
    </cacheField>
    <cacheField name="reviews count" numFmtId="0">
      <sharedItems containsSemiMixedTypes="0" containsString="0" containsNumber="1" containsInteger="1" minValue="3296" maxValue="653111"/>
    </cacheField>
    <cacheField name="form" numFmtId="0">
      <sharedItems count="3">
        <s v="Hardcover"/>
        <s v="Paperback"/>
        <s v="Board book"/>
      </sharedItems>
    </cacheField>
    <cacheField name="price" numFmtId="0">
      <sharedItems containsSemiMixedTypes="0" containsString="0" containsNumber="1" minValue="1.88" maxValue="47.9"/>
    </cacheField>
    <cacheField name="Reading age" numFmtId="0">
      <sharedItems count="12">
        <s v="ALL"/>
        <s v="18 years  "/>
        <s v="1 - 2 years"/>
        <s v="5 years  "/>
        <s v="8 years  "/>
        <s v="Baby  "/>
        <s v="7 years  "/>
        <s v="1 year  "/>
        <s v="3 - 4 years"/>
        <s v="3 years  "/>
        <s v="2 years  "/>
        <s v="12 years   "/>
      </sharedItems>
    </cacheField>
    <cacheField name="Print Length" numFmtId="0">
      <sharedItems containsSemiMixedTypes="0" containsString="0" containsNumber="1" containsInteger="1" minValue="24" maxValue="2896"/>
    </cacheField>
    <cacheField name="Publishing date" numFmtId="0">
      <sharedItems containsSemiMixedTypes="0" containsString="0" containsNumber="1" containsInteger="1" minValue="1990" maxValue="2024" count="24">
        <n v="2018"/>
        <n v="2023"/>
        <n v="2024"/>
        <n v="2022"/>
        <n v="2000"/>
        <n v="2015"/>
        <n v="2016"/>
        <n v="1994"/>
        <n v="2021"/>
        <n v="1997"/>
        <n v="2020"/>
        <n v="1996"/>
        <n v="1990"/>
        <n v="2019"/>
        <n v="1991"/>
        <n v="2013"/>
        <n v="2014"/>
        <n v="2012"/>
        <n v="2003"/>
        <n v="2007"/>
        <n v="1998"/>
        <n v="2017"/>
        <n v="2006"/>
        <n v="1995"/>
      </sharedItems>
    </cacheField>
    <cacheField name="Genre" numFmtId="0">
      <sharedItems count="15">
        <s v="Self-Improvement"/>
        <s v="Fiction &amp; Action &amp; Adventure"/>
        <s v="Biographies &amp; Memoirs"/>
        <s v="Politics &amp; Social Sciences"/>
        <s v="Health &amp; Fitness &amp; Dieting"/>
        <s v="Mystery &amp; Thriller &amp; Suspense"/>
        <s v="Reading &amp; Writing"/>
        <s v="Arts &amp; Music &amp; Photography"/>
        <s v="Puzzles &amp; Games"/>
        <s v="Comics &amp; Graphic Novels"/>
        <s v="Cookbooks &amp; Food"/>
        <s v="Humor &amp; Entertainment"/>
        <s v="Business &amp; Money"/>
        <s v="Computers &amp; Technology"/>
        <s v="Romance"/>
      </sharedItems>
    </cacheField>
    <cacheField name="Book Volume" numFmtId="0">
      <sharedItems count="5">
        <s v="Medium-Large"/>
        <s v="Large"/>
        <s v="Small"/>
        <s v="Medium"/>
        <s v="Extra-Large"/>
      </sharedItems>
    </cacheField>
    <cacheField name="Price Range" numFmtId="0">
      <sharedItems count="5">
        <s v="Costly"/>
        <s v="Affordable"/>
        <s v="Cheap"/>
        <s v="Very Costly"/>
        <s v="Extremely Costl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">
  <r>
    <n v="1"/>
    <s v="Atomic Habits: An Easy &amp; Proven Way to Build Good Habits &amp; Break Bad Ones"/>
    <s v="James Clear"/>
    <n v="4.8"/>
    <n v="145747"/>
    <x v="0"/>
    <n v="18.88"/>
    <x v="0"/>
    <n v="320"/>
    <x v="0"/>
    <x v="0"/>
    <x v="0"/>
    <x v="0"/>
  </r>
  <r>
    <n v="2"/>
    <s v="Iron Flame (Standard Edition) (The Empyrean, 2)"/>
    <s v="Rebecca Yarros"/>
    <n v="4.7"/>
    <n v="395512"/>
    <x v="0"/>
    <n v="11.05"/>
    <x v="0"/>
    <n v="640"/>
    <x v="1"/>
    <x v="1"/>
    <x v="1"/>
    <x v="1"/>
  </r>
  <r>
    <n v="3"/>
    <s v="Spare"/>
    <s v="Prince Harry  The Duke of Sussex"/>
    <n v="4.5"/>
    <n v="116101"/>
    <x v="0"/>
    <n v="11.99"/>
    <x v="0"/>
    <n v="416"/>
    <x v="1"/>
    <x v="2"/>
    <x v="0"/>
    <x v="1"/>
  </r>
  <r>
    <n v="4"/>
    <s v="Fourth Wing"/>
    <s v="Rebecca Yarros"/>
    <n v="4.8"/>
    <n v="472618"/>
    <x v="1"/>
    <n v="13.62"/>
    <x v="0"/>
    <n v="544"/>
    <x v="2"/>
    <x v="1"/>
    <x v="1"/>
    <x v="1"/>
  </r>
  <r>
    <n v="5"/>
    <s v="The Woman in Me"/>
    <s v="Britney Spears"/>
    <n v="4.4000000000000004"/>
    <n v="51520"/>
    <x v="0"/>
    <n v="11.37"/>
    <x v="0"/>
    <n v="288"/>
    <x v="1"/>
    <x v="2"/>
    <x v="0"/>
    <x v="1"/>
  </r>
  <r>
    <n v="6"/>
    <s v="Lessons in Chemistry: A Novel"/>
    <s v="Bonnie Garmus"/>
    <n v="4.5999999999999996"/>
    <n v="322650"/>
    <x v="0"/>
    <n v="13.94"/>
    <x v="0"/>
    <n v="400"/>
    <x v="3"/>
    <x v="1"/>
    <x v="0"/>
    <x v="1"/>
  </r>
  <r>
    <n v="7"/>
    <s v="The 48 Laws of Power"/>
    <s v="Robert Greene"/>
    <n v="4.7"/>
    <n v="87375"/>
    <x v="1"/>
    <n v="13.99"/>
    <x v="0"/>
    <n v="452"/>
    <x v="4"/>
    <x v="3"/>
    <x v="0"/>
    <x v="1"/>
  </r>
  <r>
    <n v="8"/>
    <s v="The Body Keeps the Score: Brain, Mind, and Body in the Healing of Trauma"/>
    <s v="Bessel van der Kolk M.D."/>
    <n v="4.8"/>
    <n v="82564"/>
    <x v="1"/>
    <n v="14.39"/>
    <x v="1"/>
    <n v="464"/>
    <x v="5"/>
    <x v="4"/>
    <x v="0"/>
    <x v="1"/>
  </r>
  <r>
    <n v="9"/>
    <s v="It Starts with Us: A Novel (It Ends with Us)"/>
    <s v="Colleen Hoover"/>
    <n v="4.5"/>
    <n v="228242"/>
    <x v="1"/>
    <n v="1.88"/>
    <x v="0"/>
    <n v="336"/>
    <x v="3"/>
    <x v="1"/>
    <x v="0"/>
    <x v="2"/>
  </r>
  <r>
    <n v="10"/>
    <s v="Outlive: The Science and Art of Longevity"/>
    <s v="Peter Attia MD"/>
    <n v="4.5999999999999996"/>
    <n v="19946"/>
    <x v="0"/>
    <n v="18"/>
    <x v="0"/>
    <n v="496"/>
    <x v="1"/>
    <x v="4"/>
    <x v="0"/>
    <x v="0"/>
  </r>
  <r>
    <n v="11"/>
    <s v="It Ends with Us: A Novel"/>
    <s v="Colleen Hoover"/>
    <n v="4.7"/>
    <n v="405311"/>
    <x v="1"/>
    <n v="9.0299999999999994"/>
    <x v="0"/>
    <n v="384"/>
    <x v="6"/>
    <x v="1"/>
    <x v="0"/>
    <x v="1"/>
  </r>
  <r>
    <n v="12"/>
    <s v="The Housemaid"/>
    <s v="Freida McFadden"/>
    <n v="4.5"/>
    <n v="653111"/>
    <x v="1"/>
    <n v="9.69"/>
    <x v="0"/>
    <n v="336"/>
    <x v="3"/>
    <x v="5"/>
    <x v="0"/>
    <x v="1"/>
  </r>
  <r>
    <n v="13"/>
    <s v="The Very Hungry Caterpillar"/>
    <s v="Eric Carle"/>
    <n v="4.9000000000000004"/>
    <n v="78436"/>
    <x v="2"/>
    <n v="5.75"/>
    <x v="2"/>
    <n v="26"/>
    <x v="7"/>
    <x v="6"/>
    <x v="2"/>
    <x v="2"/>
  </r>
  <r>
    <n v="14"/>
    <s v="Killers of the Flower Moon: The Osage Murders and the Birth of the FBI"/>
    <s v="David Grann"/>
    <n v="4.4000000000000004"/>
    <n v="80996"/>
    <x v="1"/>
    <n v="9.99"/>
    <x v="0"/>
    <n v="416"/>
    <x v="0"/>
    <x v="3"/>
    <x v="0"/>
    <x v="1"/>
  </r>
  <r>
    <n v="15"/>
    <s v="Verity"/>
    <s v="Colleen Hoover"/>
    <n v="4.5999999999999996"/>
    <n v="443390"/>
    <x v="1"/>
    <n v="12.09"/>
    <x v="0"/>
    <n v="336"/>
    <x v="8"/>
    <x v="1"/>
    <x v="0"/>
    <x v="1"/>
  </r>
  <r>
    <n v="16"/>
    <s v="The Seven Husbands of Evelyn Hugo"/>
    <s v="Taylor Jenkins Reid"/>
    <n v="4.5999999999999996"/>
    <n v="270507"/>
    <x v="1"/>
    <n v="6.91"/>
    <x v="0"/>
    <n v="400"/>
    <x v="0"/>
    <x v="1"/>
    <x v="0"/>
    <x v="2"/>
  </r>
  <r>
    <n v="17"/>
    <s v="The Creative Act: A Way of Being"/>
    <s v="Rick Rubin"/>
    <n v="4.7"/>
    <n v="10805"/>
    <x v="0"/>
    <n v="16.989999999999998"/>
    <x v="0"/>
    <n v="432"/>
    <x v="1"/>
    <x v="4"/>
    <x v="0"/>
    <x v="0"/>
  </r>
  <r>
    <n v="18"/>
    <s v="Taylor Swift: A Little Golden Book Biography"/>
    <s v="Wendy Loggia, Elisa Chavarri"/>
    <n v="4.9000000000000004"/>
    <n v="9344"/>
    <x v="0"/>
    <n v="4.3499999999999996"/>
    <x v="3"/>
    <n v="24"/>
    <x v="1"/>
    <x v="7"/>
    <x v="2"/>
    <x v="2"/>
  </r>
  <r>
    <n v="19"/>
    <s v="The Four Agreements: A Practical Guide to Personal Freedom"/>
    <s v="Janet Mills, Don Miguel Ruiz"/>
    <n v="4.7"/>
    <n v="119661"/>
    <x v="1"/>
    <n v="7.05"/>
    <x v="0"/>
    <n v="160"/>
    <x v="9"/>
    <x v="0"/>
    <x v="0"/>
    <x v="1"/>
  </r>
  <r>
    <n v="20"/>
    <s v="Demon Copperhead: A Novel"/>
    <s v="Barbara Kingsolver"/>
    <n v="4.5999999999999996"/>
    <n v="146667"/>
    <x v="0"/>
    <n v="17.100000000000001"/>
    <x v="0"/>
    <n v="560"/>
    <x v="3"/>
    <x v="1"/>
    <x v="1"/>
    <x v="0"/>
  </r>
  <r>
    <n v="21"/>
    <s v="A Court of Thorns and Roses"/>
    <s v="Sarah J. Maas"/>
    <n v="4.5999999999999996"/>
    <n v="314472"/>
    <x v="1"/>
    <n v="12.8"/>
    <x v="0"/>
    <n v="448"/>
    <x v="10"/>
    <x v="1"/>
    <x v="0"/>
    <x v="1"/>
  </r>
  <r>
    <n v="22"/>
    <s v="Interesting Facts For Curious Minds"/>
    <s v="Jordan Moore"/>
    <n v="4.5999999999999996"/>
    <n v="15400"/>
    <x v="1"/>
    <n v="10.41"/>
    <x v="0"/>
    <n v="196"/>
    <x v="3"/>
    <x v="8"/>
    <x v="0"/>
    <x v="1"/>
  </r>
  <r>
    <n v="23"/>
    <s v="No Brainer (Diary of a Wimpy Kid #18) (Volume 18)"/>
    <s v="Jeff Kinney"/>
    <n v="4.7"/>
    <n v="13081"/>
    <x v="0"/>
    <n v="2.0299999999999998"/>
    <x v="4"/>
    <n v="224"/>
    <x v="1"/>
    <x v="6"/>
    <x v="0"/>
    <x v="2"/>
  </r>
  <r>
    <n v="24"/>
    <s v="I Love You to the Moon and Back"/>
    <s v="Amelia Hepworth"/>
    <n v="4.9000000000000004"/>
    <n v="80263"/>
    <x v="2"/>
    <n v="3.97"/>
    <x v="5"/>
    <n v="28"/>
    <x v="5"/>
    <x v="6"/>
    <x v="2"/>
    <x v="2"/>
  </r>
  <r>
    <n v="25"/>
    <s v="Dog Man: Twenty Thousand Fleas Under the Sea: A Graphic Novel (Dog Man #11): From the Creator of Captain Underpants"/>
    <s v="Dav Pilkey"/>
    <n v="4.8"/>
    <n v="11089"/>
    <x v="0"/>
    <n v="5.48"/>
    <x v="6"/>
    <n v="240"/>
    <x v="1"/>
    <x v="9"/>
    <x v="0"/>
    <x v="2"/>
  </r>
  <r>
    <n v="26"/>
    <s v="Things We Never Got Over (Knockemout)"/>
    <s v="Lucy Score"/>
    <n v="4.5"/>
    <n v="232211"/>
    <x v="1"/>
    <n v="9.77"/>
    <x v="0"/>
    <n v="570"/>
    <x v="3"/>
    <x v="1"/>
    <x v="1"/>
    <x v="1"/>
  </r>
  <r>
    <n v="27"/>
    <s v="The Covenant of Water (Oprah's Book Club)"/>
    <s v="Abraham Verghese"/>
    <n v="4.5999999999999996"/>
    <n v="94536"/>
    <x v="0"/>
    <n v="17.96"/>
    <x v="0"/>
    <n v="736"/>
    <x v="1"/>
    <x v="1"/>
    <x v="1"/>
    <x v="0"/>
  </r>
  <r>
    <n v="28"/>
    <s v="Brown Bear, Brown Bear, What Do You See?"/>
    <s v="Bill Martin Jr. , Eric Carle"/>
    <n v="4.9000000000000004"/>
    <n v="55794"/>
    <x v="2"/>
    <n v="4.82"/>
    <x v="2"/>
    <n v="24"/>
    <x v="11"/>
    <x v="6"/>
    <x v="2"/>
    <x v="2"/>
  </r>
  <r>
    <n v="29"/>
    <s v="Baking Yesteryear: The Best Recipes from the 1900s to the 1980s"/>
    <s v="B. Dylan Hollis"/>
    <n v="4.9000000000000004"/>
    <n v="13217"/>
    <x v="0"/>
    <n v="16.78"/>
    <x v="0"/>
    <n v="256"/>
    <x v="1"/>
    <x v="10"/>
    <x v="0"/>
    <x v="0"/>
  </r>
  <r>
    <n v="30"/>
    <s v="I Love You Like No Otter: A Funny and Sweet Valentine's Day Board Book for Babies and Toddlers (Punderland)"/>
    <s v="Rose Rossner"/>
    <n v="4.9000000000000004"/>
    <n v="14622"/>
    <x v="2"/>
    <n v="5.37"/>
    <x v="5"/>
    <n v="24"/>
    <x v="10"/>
    <x v="6"/>
    <x v="2"/>
    <x v="2"/>
  </r>
  <r>
    <n v="31"/>
    <s v="Friends, Lovers, and the Big Terrible Thing"/>
    <s v="Matthew Perry"/>
    <n v="4.5"/>
    <n v="60311"/>
    <x v="0"/>
    <n v="10.83"/>
    <x v="0"/>
    <n v="272"/>
    <x v="3"/>
    <x v="11"/>
    <x v="0"/>
    <x v="1"/>
  </r>
  <r>
    <n v="32"/>
    <s v="Rich Dad Poor Dad"/>
    <s v="Robert T. Kiyosaki"/>
    <n v="4.7"/>
    <n v="106198"/>
    <x v="1"/>
    <n v="7.34"/>
    <x v="0"/>
    <n v="336"/>
    <x v="3"/>
    <x v="12"/>
    <x v="0"/>
    <x v="1"/>
  </r>
  <r>
    <n v="33"/>
    <s v="The Wager: A Tale of Shipwreck, Mutiny and Murder"/>
    <s v="David Grann"/>
    <n v="4.4000000000000004"/>
    <n v="39574"/>
    <x v="0"/>
    <n v="14.47"/>
    <x v="7"/>
    <n v="352"/>
    <x v="1"/>
    <x v="2"/>
    <x v="0"/>
    <x v="1"/>
  </r>
  <r>
    <n v="34"/>
    <s v="Oh, the Places You'll Go!"/>
    <s v="Dr. Seuss "/>
    <n v="4.9000000000000004"/>
    <n v="53602"/>
    <x v="0"/>
    <n v="8.64"/>
    <x v="8"/>
    <n v="56"/>
    <x v="12"/>
    <x v="6"/>
    <x v="3"/>
    <x v="1"/>
  </r>
  <r>
    <n v="35"/>
    <s v="My First Library: Boxset of 10 Board Books for Kids"/>
    <s v="Wonder House Books"/>
    <n v="4.5999999999999996"/>
    <n v="88321"/>
    <x v="2"/>
    <n v="14.99"/>
    <x v="2"/>
    <n v="220"/>
    <x v="0"/>
    <x v="6"/>
    <x v="0"/>
    <x v="1"/>
  </r>
  <r>
    <n v="36"/>
    <s v="If He Had Been with Me"/>
    <s v="Laura Nowlin"/>
    <n v="4.2"/>
    <n v="60754"/>
    <x v="1"/>
    <n v="6.88"/>
    <x v="0"/>
    <n v="400"/>
    <x v="13"/>
    <x v="1"/>
    <x v="0"/>
    <x v="2"/>
  </r>
  <r>
    <n v="37"/>
    <s v="Goodnight Moon"/>
    <s v="Margaret Wise Brown, Clement Hurd"/>
    <n v="4.9000000000000004"/>
    <n v="31124"/>
    <x v="2"/>
    <n v="1.89"/>
    <x v="5"/>
    <n v="34"/>
    <x v="14"/>
    <x v="7"/>
    <x v="2"/>
    <x v="2"/>
  </r>
  <r>
    <n v="38"/>
    <s v="Tomorrow, and Tomorrow, and Tomorrow"/>
    <s v="Gabrielle Zevin"/>
    <n v="4.4000000000000004"/>
    <n v="129310"/>
    <x v="0"/>
    <n v="13.28"/>
    <x v="0"/>
    <n v="416"/>
    <x v="3"/>
    <x v="1"/>
    <x v="0"/>
    <x v="1"/>
  </r>
  <r>
    <n v="39"/>
    <s v="World of Eric Carle, Around the Farm 30"/>
    <s v="PI Kids"/>
    <n v="4.8"/>
    <n v="26464"/>
    <x v="0"/>
    <n v="11.99"/>
    <x v="2"/>
    <n v="24"/>
    <x v="15"/>
    <x v="6"/>
    <x v="2"/>
    <x v="1"/>
  </r>
  <r>
    <n v="40"/>
    <s v="The Wonderful Things You Will Be"/>
    <s v="Emily Winfield Martin"/>
    <n v="4.9000000000000004"/>
    <n v="32274"/>
    <x v="0"/>
    <n v="9.4499999999999993"/>
    <x v="9"/>
    <n v="36"/>
    <x v="5"/>
    <x v="6"/>
    <x v="2"/>
    <x v="1"/>
  </r>
  <r>
    <n v="41"/>
    <s v="Fourth Wing (Special Edition)"/>
    <s v="Rebecca Yarros"/>
    <n v="4.5999999999999996"/>
    <n v="5028"/>
    <x v="0"/>
    <n v="26.91"/>
    <x v="0"/>
    <n v="528"/>
    <x v="1"/>
    <x v="1"/>
    <x v="1"/>
    <x v="3"/>
  </r>
  <r>
    <n v="42"/>
    <s v="The Silent Patient"/>
    <s v="Alex Michaelides"/>
    <n v="4.4000000000000004"/>
    <n v="398561"/>
    <x v="1"/>
    <n v="2.39"/>
    <x v="0"/>
    <n v="368"/>
    <x v="8"/>
    <x v="5"/>
    <x v="0"/>
    <x v="2"/>
  </r>
  <r>
    <n v="43"/>
    <s v="Remarkably Bright Creatures: A Read with Jenna Pick"/>
    <s v="Shelby Van Pelt"/>
    <n v="4.5999999999999996"/>
    <n v="129211"/>
    <x v="2"/>
    <n v="14.53"/>
    <x v="0"/>
    <n v="368"/>
    <x v="3"/>
    <x v="5"/>
    <x v="0"/>
    <x v="1"/>
  </r>
  <r>
    <n v="44"/>
    <s v="The Psychology of Money: Timeless lessons on wealth, greed, and happiness"/>
    <s v="Morgan Housel"/>
    <n v="4.7"/>
    <n v="68563"/>
    <x v="1"/>
    <n v="14.18"/>
    <x v="0"/>
    <n v="256"/>
    <x v="10"/>
    <x v="12"/>
    <x v="0"/>
    <x v="1"/>
  </r>
  <r>
    <n v="45"/>
    <s v="The Shadow Work Journal"/>
    <s v="Keila Shaheen"/>
    <n v="4.7"/>
    <n v="6331"/>
    <x v="1"/>
    <n v="23.66"/>
    <x v="0"/>
    <n v="138"/>
    <x v="8"/>
    <x v="4"/>
    <x v="3"/>
    <x v="3"/>
  </r>
  <r>
    <n v="46"/>
    <s v="Oath and Honor: A Memoir and a Warning"/>
    <s v="Liz Cheney"/>
    <n v="4.8"/>
    <n v="17084"/>
    <x v="0"/>
    <n v="14.78"/>
    <x v="0"/>
    <n v="384"/>
    <x v="1"/>
    <x v="2"/>
    <x v="0"/>
    <x v="1"/>
  </r>
  <r>
    <n v="47"/>
    <s v="Where's Bluey?: A Search-and-Find Book"/>
    <s v="Penguin Young Readers Licenses"/>
    <n v="4.8"/>
    <n v="9137"/>
    <x v="1"/>
    <n v="2.7"/>
    <x v="10"/>
    <n v="32"/>
    <x v="3"/>
    <x v="7"/>
    <x v="2"/>
    <x v="2"/>
  </r>
  <r>
    <n v="48"/>
    <s v="Twisted Love"/>
    <s v="Ana Huang"/>
    <n v="4.2"/>
    <n v="142671"/>
    <x v="1"/>
    <n v="9.99"/>
    <x v="0"/>
    <n v="352"/>
    <x v="3"/>
    <x v="1"/>
    <x v="0"/>
    <x v="1"/>
  </r>
  <r>
    <n v="49"/>
    <s v="Icebreaker"/>
    <s v="Hannah Grace"/>
    <n v="4.3"/>
    <n v="113454"/>
    <x v="1"/>
    <n v="9.4"/>
    <x v="0"/>
    <n v="448"/>
    <x v="1"/>
    <x v="1"/>
    <x v="0"/>
    <x v="1"/>
  </r>
  <r>
    <n v="50"/>
    <s v="Things We Hide from the Light"/>
    <s v="Lucy Score"/>
    <n v="4.4000000000000004"/>
    <n v="119095"/>
    <x v="1"/>
    <n v="9.9499999999999993"/>
    <x v="0"/>
    <n v="592"/>
    <x v="1"/>
    <x v="1"/>
    <x v="1"/>
    <x v="1"/>
  </r>
  <r>
    <n v="51"/>
    <s v="Reminders of Him: A Novel"/>
    <s v="Colleen Hoover"/>
    <n v="4.7"/>
    <n v="347742"/>
    <x v="1"/>
    <n v="9.0299999999999994"/>
    <x v="0"/>
    <n v="335"/>
    <x v="3"/>
    <x v="1"/>
    <x v="0"/>
    <x v="1"/>
  </r>
  <r>
    <n v="52"/>
    <s v="A Court of Mist and Fury"/>
    <s v="Sarah J. Maas"/>
    <n v="4.8"/>
    <n v="287325"/>
    <x v="1"/>
    <n v="12.16"/>
    <x v="0"/>
    <n v="656"/>
    <x v="10"/>
    <x v="1"/>
    <x v="1"/>
    <x v="1"/>
  </r>
  <r>
    <n v="53"/>
    <s v="The Legend of Zelda™: Tears of the Kingdom – The Complete Official Guide: Collector's Edition"/>
    <s v="Piggyback"/>
    <n v="4.8"/>
    <n v="7876"/>
    <x v="0"/>
    <n v="20.190000000000001"/>
    <x v="0"/>
    <n v="496"/>
    <x v="1"/>
    <x v="13"/>
    <x v="0"/>
    <x v="0"/>
  </r>
  <r>
    <n v="54"/>
    <s v="Elon Musk"/>
    <s v="Walter Isaacson"/>
    <n v="4.7"/>
    <n v="22689"/>
    <x v="0"/>
    <n v="19.93"/>
    <x v="0"/>
    <n v="688"/>
    <x v="1"/>
    <x v="2"/>
    <x v="1"/>
    <x v="0"/>
  </r>
  <r>
    <n v="55"/>
    <s v="I Will Teach You to Be Rich: No Guilt. No Excuses. Just a 6-Week Program That Works (Second Edition)"/>
    <s v="Ramit Sethi"/>
    <n v="4.5999999999999996"/>
    <n v="23034"/>
    <x v="1"/>
    <n v="10.17"/>
    <x v="0"/>
    <n v="352"/>
    <x v="13"/>
    <x v="12"/>
    <x v="0"/>
    <x v="1"/>
  </r>
  <r>
    <n v="56"/>
    <s v="Haunting Adeline"/>
    <s v="H. D. Carlton"/>
    <n v="4.4000000000000004"/>
    <n v="163368"/>
    <x v="1"/>
    <n v="17.18"/>
    <x v="0"/>
    <n v="627"/>
    <x v="8"/>
    <x v="5"/>
    <x v="1"/>
    <x v="0"/>
  </r>
  <r>
    <n v="57"/>
    <s v="How to Catch a Dinosaur"/>
    <s v="Adam Wallace"/>
    <n v="4.8"/>
    <n v="18031"/>
    <x v="0"/>
    <n v="5.6"/>
    <x v="9"/>
    <n v="40"/>
    <x v="13"/>
    <x v="6"/>
    <x v="2"/>
    <x v="2"/>
  </r>
  <r>
    <n v="58"/>
    <s v="Ugly Love: A Novel"/>
    <s v="Colleen Hoover"/>
    <n v="4.5999999999999996"/>
    <n v="165631"/>
    <x v="1"/>
    <n v="8.91"/>
    <x v="0"/>
    <n v="336"/>
    <x v="16"/>
    <x v="1"/>
    <x v="0"/>
    <x v="1"/>
  </r>
  <r>
    <n v="59"/>
    <s v="If Animals Kissed Good Night"/>
    <s v="Ann Whitford Paul"/>
    <n v="4.8"/>
    <n v="75734"/>
    <x v="2"/>
    <n v="4.2300000000000004"/>
    <x v="5"/>
    <n v="34"/>
    <x v="16"/>
    <x v="6"/>
    <x v="2"/>
    <x v="2"/>
  </r>
  <r>
    <n v="60"/>
    <s v="Happy Place"/>
    <s v="Emily Henry"/>
    <n v="4.2"/>
    <n v="107168"/>
    <x v="0"/>
    <n v="12.29"/>
    <x v="0"/>
    <n v="400"/>
    <x v="1"/>
    <x v="1"/>
    <x v="0"/>
    <x v="1"/>
  </r>
  <r>
    <n v="61"/>
    <s v="Twisted Games"/>
    <s v="Ana Huang"/>
    <n v="4.4000000000000004"/>
    <n v="108327"/>
    <x v="1"/>
    <n v="9.74"/>
    <x v="0"/>
    <n v="448"/>
    <x v="3"/>
    <x v="14"/>
    <x v="0"/>
    <x v="1"/>
  </r>
  <r>
    <n v="62"/>
    <s v="Chicka Chicka Boom Boom"/>
    <s v="Bill Martin Jr.,  John Archambault , Lois Ehlert"/>
    <n v="4.9000000000000004"/>
    <n v="41314"/>
    <x v="2"/>
    <n v="4.17"/>
    <x v="2"/>
    <n v="36"/>
    <x v="17"/>
    <x v="6"/>
    <x v="2"/>
    <x v="2"/>
  </r>
  <r>
    <n v="63"/>
    <s v="Hello Beautiful (Oprah's Book Club): A Novel"/>
    <s v="Ann Napolitano"/>
    <n v="4.4000000000000004"/>
    <n v="109707"/>
    <x v="0"/>
    <n v="13.97"/>
    <x v="0"/>
    <n v="400"/>
    <x v="1"/>
    <x v="1"/>
    <x v="0"/>
    <x v="1"/>
  </r>
  <r>
    <n v="64"/>
    <s v="The Democrat Party Hates America"/>
    <s v="Mark R. Levin"/>
    <n v="4.8"/>
    <n v="5751"/>
    <x v="0"/>
    <n v="13.47"/>
    <x v="0"/>
    <n v="400"/>
    <x v="1"/>
    <x v="3"/>
    <x v="0"/>
    <x v="1"/>
  </r>
  <r>
    <n v="65"/>
    <s v="A Little Life"/>
    <s v="Hanya Yanagihara"/>
    <n v="4.5"/>
    <n v="86622"/>
    <x v="1"/>
    <n v="9.25"/>
    <x v="0"/>
    <n v="832"/>
    <x v="6"/>
    <x v="1"/>
    <x v="1"/>
    <x v="1"/>
  </r>
  <r>
    <n v="66"/>
    <s v="Meditations"/>
    <s v="Marcus Aurelius"/>
    <n v="4.8"/>
    <n v="18227"/>
    <x v="1"/>
    <n v="8.18"/>
    <x v="0"/>
    <n v="272"/>
    <x v="18"/>
    <x v="3"/>
    <x v="0"/>
    <x v="1"/>
  </r>
  <r>
    <n v="67"/>
    <s v="Holly"/>
    <s v="Stephen King"/>
    <n v="4.5"/>
    <n v="43046"/>
    <x v="0"/>
    <n v="13.98"/>
    <x v="0"/>
    <n v="464"/>
    <x v="1"/>
    <x v="5"/>
    <x v="0"/>
    <x v="1"/>
  </r>
  <r>
    <n v="68"/>
    <s v="The Heaven &amp; Earth Grocery Store"/>
    <s v="James McBride"/>
    <n v="4.4000000000000004"/>
    <n v="73210"/>
    <x v="0"/>
    <n v="15.05"/>
    <x v="0"/>
    <n v="400"/>
    <x v="1"/>
    <x v="1"/>
    <x v="0"/>
    <x v="0"/>
  </r>
  <r>
    <n v="70"/>
    <s v="Think and Grow Rich: The Landmark Bestseller Now Revised and Updated for the 21st Century (Think and Grow Rich Series)"/>
    <s v="Napoleon Hill"/>
    <n v="4.8"/>
    <n v="29360"/>
    <x v="1"/>
    <n v="8.24"/>
    <x v="0"/>
    <n v="320"/>
    <x v="19"/>
    <x v="12"/>
    <x v="0"/>
    <x v="1"/>
  </r>
  <r>
    <n v="71"/>
    <s v="Daisy Jones &amp; The Six: Reese's Book Club: A Novel"/>
    <s v="Taylor Jenkins Reid"/>
    <n v="4.4000000000000004"/>
    <n v="95715"/>
    <x v="1"/>
    <n v="9.33"/>
    <x v="0"/>
    <n v="400"/>
    <x v="10"/>
    <x v="1"/>
    <x v="0"/>
    <x v="1"/>
  </r>
  <r>
    <n v="72"/>
    <s v="A Court of Thorns and Roses Paperback Box Set (5 books)"/>
    <s v="Sarah J. Maas"/>
    <n v="4.8"/>
    <n v="52380"/>
    <x v="1"/>
    <n v="47.9"/>
    <x v="0"/>
    <n v="2896"/>
    <x v="3"/>
    <x v="1"/>
    <x v="4"/>
    <x v="4"/>
  </r>
  <r>
    <n v="73"/>
    <s v="How to Win Friends &amp; Influence People"/>
    <s v="Dale Carnegie "/>
    <n v="4.7"/>
    <n v="109703"/>
    <x v="1"/>
    <n v="15.44"/>
    <x v="0"/>
    <n v="320"/>
    <x v="20"/>
    <x v="0"/>
    <x v="0"/>
    <x v="0"/>
  </r>
  <r>
    <n v="74"/>
    <s v="The Complete Cookbook for Young Chefs"/>
    <s v="America’s Test Kitchen Kids"/>
    <n v="4.8"/>
    <n v="25279"/>
    <x v="0"/>
    <n v="9.4"/>
    <x v="4"/>
    <n v="208"/>
    <x v="0"/>
    <x v="10"/>
    <x v="0"/>
    <x v="1"/>
  </r>
  <r>
    <n v="75"/>
    <s v="The Boy, the Mole, the Fox and the Horse: Inspiring Conversations on Hope, Love and Personal Growth"/>
    <s v="Charlie Mackesy"/>
    <n v="4.8"/>
    <n v="127734"/>
    <x v="0"/>
    <n v="17.62"/>
    <x v="6"/>
    <n v="128"/>
    <x v="13"/>
    <x v="9"/>
    <x v="3"/>
    <x v="0"/>
  </r>
  <r>
    <n v="76"/>
    <s v="Can't Hurt Me: Master Your Mind and Defy the Odds"/>
    <s v="David Goggins"/>
    <n v="4.8"/>
    <n v="104512"/>
    <x v="1"/>
    <n v="24.99"/>
    <x v="0"/>
    <n v="364"/>
    <x v="0"/>
    <x v="0"/>
    <x v="0"/>
    <x v="3"/>
  </r>
  <r>
    <n v="77"/>
    <s v="The Complete Summer I Turned Pretty Trilogy (Boxed Set): The Summer I Turned Pretty; It's Not Summer Without You; We'll Always Have Summer"/>
    <s v="Jenny Han"/>
    <n v="4.8"/>
    <n v="14746"/>
    <x v="1"/>
    <n v="24.62"/>
    <x v="11"/>
    <n v="928"/>
    <x v="15"/>
    <x v="1"/>
    <x v="1"/>
    <x v="3"/>
  </r>
  <r>
    <n v="78"/>
    <s v="The Exchange: After The Firm (The Firm Series)"/>
    <s v="John Grisham"/>
    <n v="4.0999999999999996"/>
    <n v="72785"/>
    <x v="0"/>
    <n v="12.97"/>
    <x v="0"/>
    <n v="352"/>
    <x v="1"/>
    <x v="5"/>
    <x v="0"/>
    <x v="1"/>
  </r>
  <r>
    <n v="79"/>
    <s v="Dragons Love Tacos"/>
    <s v="Adam Rubin, Daniel Salmieri"/>
    <n v="4.8"/>
    <n v="20638"/>
    <x v="0"/>
    <n v="9.82"/>
    <x v="10"/>
    <n v="40"/>
    <x v="17"/>
    <x v="6"/>
    <x v="2"/>
    <x v="1"/>
  </r>
  <r>
    <n v="80"/>
    <s v="The Nightingale: A Novel"/>
    <s v="Kristin Hannah"/>
    <n v="4.7"/>
    <n v="396005"/>
    <x v="1"/>
    <n v="13.48"/>
    <x v="0"/>
    <n v="608"/>
    <x v="21"/>
    <x v="1"/>
    <x v="1"/>
    <x v="1"/>
  </r>
  <r>
    <n v="82"/>
    <s v="Adult Children of Emotionally Immature Parents"/>
    <s v="Lindsay C. Gibson"/>
    <n v="4.8"/>
    <n v="27090"/>
    <x v="1"/>
    <n v="10.210000000000001"/>
    <x v="0"/>
    <n v="216"/>
    <x v="5"/>
    <x v="0"/>
    <x v="0"/>
    <x v="1"/>
  </r>
  <r>
    <n v="83"/>
    <s v="Stop Overthinking"/>
    <s v="Nick Trenton"/>
    <n v="4.7"/>
    <n v="14647"/>
    <x v="1"/>
    <n v="10.199999999999999"/>
    <x v="0"/>
    <n v="200"/>
    <x v="8"/>
    <x v="12"/>
    <x v="0"/>
    <x v="1"/>
  </r>
  <r>
    <n v="84"/>
    <s v="A Court of Wings and Ruin"/>
    <s v="Sarah J. Maas"/>
    <n v="4.7"/>
    <n v="269981"/>
    <x v="1"/>
    <n v="12.81"/>
    <x v="0"/>
    <n v="736"/>
    <x v="10"/>
    <x v="1"/>
    <x v="1"/>
    <x v="1"/>
  </r>
  <r>
    <n v="85"/>
    <s v="The Subtle Art of Not Giving a F*ck"/>
    <s v="Mark Manson"/>
    <n v="4.5"/>
    <n v="158416"/>
    <x v="0"/>
    <n v="13.43"/>
    <x v="0"/>
    <n v="224"/>
    <x v="6"/>
    <x v="0"/>
    <x v="0"/>
    <x v="1"/>
  </r>
  <r>
    <n v="86"/>
    <s v="American Prometheus"/>
    <s v="Kai Bird, Martin J. Sherwin"/>
    <n v="4.7"/>
    <n v="13739"/>
    <x v="1"/>
    <n v="14.71"/>
    <x v="0"/>
    <n v="721"/>
    <x v="22"/>
    <x v="2"/>
    <x v="1"/>
    <x v="1"/>
  </r>
  <r>
    <n v="87"/>
    <s v="Fast Like a Girl"/>
    <s v="Dr. Mindy Pelz"/>
    <n v="4.7"/>
    <n v="7992"/>
    <x v="0"/>
    <n v="12.81"/>
    <x v="0"/>
    <n v="352"/>
    <x v="3"/>
    <x v="4"/>
    <x v="0"/>
    <x v="1"/>
  </r>
  <r>
    <n v="88"/>
    <s v="The Shadow Work Journal 2nd Edition"/>
    <s v="Keila Shaheen"/>
    <n v="4.5999999999999996"/>
    <n v="3296"/>
    <x v="1"/>
    <n v="21.74"/>
    <x v="0"/>
    <n v="227"/>
    <x v="1"/>
    <x v="0"/>
    <x v="0"/>
    <x v="0"/>
  </r>
  <r>
    <n v="89"/>
    <s v="The Alchemist"/>
    <s v="Paulo Coelho"/>
    <n v="4.5999999999999996"/>
    <n v="123058"/>
    <x v="1"/>
    <n v="5.03"/>
    <x v="0"/>
    <n v="208"/>
    <x v="16"/>
    <x v="2"/>
    <x v="0"/>
    <x v="2"/>
  </r>
  <r>
    <n v="90"/>
    <s v="Love You Forever"/>
    <s v="Robert Munsch, Sheila McGraw"/>
    <n v="4.9000000000000004"/>
    <n v="67104"/>
    <x v="1"/>
    <n v="4.9800000000000004"/>
    <x v="5"/>
    <n v="32"/>
    <x v="23"/>
    <x v="6"/>
    <x v="2"/>
    <x v="2"/>
  </r>
  <r>
    <n v="91"/>
    <s v="How to Catch a Unicorn"/>
    <s v="Adam Wallace, Andy Elkerton"/>
    <n v="4.8"/>
    <n v="37369"/>
    <x v="0"/>
    <n v="5.96"/>
    <x v="9"/>
    <n v="40"/>
    <x v="13"/>
    <x v="6"/>
    <x v="2"/>
    <x v="2"/>
  </r>
  <r>
    <n v="92"/>
    <s v="All the Light We Cannot See"/>
    <s v="Anthony Doerr"/>
    <n v="4.5"/>
    <n v="235857"/>
    <x v="1"/>
    <n v="10.18"/>
    <x v="0"/>
    <n v="544"/>
    <x v="21"/>
    <x v="1"/>
    <x v="1"/>
    <x v="1"/>
  </r>
  <r>
    <n v="93"/>
    <s v="The Ballad of Songbirds and Snakes"/>
    <s v="Suzanne Collins"/>
    <n v="4.5"/>
    <n v="105084"/>
    <x v="1"/>
    <n v="10.83"/>
    <x v="11"/>
    <n v="528"/>
    <x v="1"/>
    <x v="1"/>
    <x v="1"/>
    <x v="1"/>
  </r>
  <r>
    <n v="94"/>
    <s v="What to Expect When You're Expecting"/>
    <s v="Heidi Murkoff"/>
    <n v="4.8"/>
    <n v="30260"/>
    <x v="1"/>
    <n v="9.43"/>
    <x v="0"/>
    <n v="656"/>
    <x v="6"/>
    <x v="4"/>
    <x v="1"/>
    <x v="1"/>
  </r>
  <r>
    <n v="95"/>
    <s v="The Last Thing He Told Me"/>
    <s v="Laura Dave"/>
    <n v="4.3"/>
    <n v="168512"/>
    <x v="1"/>
    <n v="7.16"/>
    <x v="0"/>
    <n v="336"/>
    <x v="1"/>
    <x v="1"/>
    <x v="0"/>
    <x v="1"/>
  </r>
  <r>
    <n v="96"/>
    <s v="From Crook to Cook: Platinum Recipes from Tha Boss Dogg's Kitchen (Snoop Dogg Cookbook, Celebrity Cookbook with Soul Food Recipes)"/>
    <s v="Snoop Dogg"/>
    <n v="4.8"/>
    <n v="40073"/>
    <x v="0"/>
    <n v="12"/>
    <x v="7"/>
    <n v="192"/>
    <x v="0"/>
    <x v="10"/>
    <x v="0"/>
    <x v="1"/>
  </r>
  <r>
    <n v="97"/>
    <s v="The 5 Love Languages"/>
    <s v="Gary Chapman"/>
    <n v="4.8"/>
    <n v="91554"/>
    <x v="1"/>
    <n v="1.89"/>
    <x v="0"/>
    <n v="224"/>
    <x v="2"/>
    <x v="0"/>
    <x v="0"/>
    <x v="2"/>
  </r>
  <r>
    <n v="98"/>
    <s v="My First Learn-to-Write Workbook: Practice for Kids with Pen Control, Line Tracing, Letters, and More!"/>
    <s v="Crystal Radke"/>
    <n v="4.8"/>
    <n v="89173"/>
    <x v="1"/>
    <n v="5.26"/>
    <x v="8"/>
    <n v="84"/>
    <x v="13"/>
    <x v="6"/>
    <x v="3"/>
    <x v="2"/>
  </r>
  <r>
    <n v="99"/>
    <s v="How to Catch a Mermaid"/>
    <s v="Adam Wallace, Andy Elkerton"/>
    <n v="4.8"/>
    <n v="34994"/>
    <x v="0"/>
    <n v="5.71"/>
    <x v="9"/>
    <n v="40"/>
    <x v="0"/>
    <x v="6"/>
    <x v="2"/>
    <x v="2"/>
  </r>
  <r>
    <n v="100"/>
    <s v="A Court of Frost and Starlight"/>
    <s v="Sarah J. Maas"/>
    <n v="4.2"/>
    <n v="181184"/>
    <x v="1"/>
    <n v="12.74"/>
    <x v="0"/>
    <n v="272"/>
    <x v="10"/>
    <x v="1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3526B5-E1E7-4C16-A13A-4AA9677D2C90}" name="PivotTable3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7">
  <location ref="A21:B45" firstHeaderRow="1" firstDataRow="1" firstDataCol="1"/>
  <pivotFields count="13"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5"/>
        <item x="7"/>
        <item x="2"/>
        <item x="10"/>
        <item x="9"/>
        <item x="8"/>
        <item x="3"/>
        <item x="6"/>
        <item x="4"/>
        <item x="11"/>
        <item x="1"/>
        <item x="0"/>
        <item t="default"/>
      </items>
    </pivotField>
    <pivotField showAll="0"/>
    <pivotField axis="axisRow" showAll="0">
      <items count="25">
        <item x="12"/>
        <item x="14"/>
        <item x="7"/>
        <item x="23"/>
        <item x="11"/>
        <item x="9"/>
        <item x="20"/>
        <item x="4"/>
        <item x="18"/>
        <item x="22"/>
        <item x="19"/>
        <item x="17"/>
        <item x="15"/>
        <item x="16"/>
        <item x="5"/>
        <item x="6"/>
        <item x="21"/>
        <item x="0"/>
        <item x="13"/>
        <item x="10"/>
        <item x="8"/>
        <item x="3"/>
        <item x="1"/>
        <item x="2"/>
        <item t="default"/>
      </items>
    </pivotField>
    <pivotField showAll="0"/>
    <pivotField showAll="0">
      <items count="6">
        <item x="2"/>
        <item x="3"/>
        <item x="0"/>
        <item x="1"/>
        <item x="4"/>
        <item t="default"/>
      </items>
    </pivotField>
    <pivotField dataField="1" showAll="0">
      <items count="6">
        <item x="2"/>
        <item x="1"/>
        <item x="0"/>
        <item x="3"/>
        <item x="4"/>
        <item t="default"/>
      </items>
    </pivotField>
  </pivotFields>
  <rowFields count="1">
    <field x="9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Items count="1">
    <i/>
  </colItems>
  <dataFields count="1">
    <dataField name="Count of Price Range" fld="12" subtotal="count" baseField="0" baseItem="0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AA51E3-D009-4C50-91D3-C53089F1D6AD}" name="PivotTable2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">
  <location ref="A12:F18" firstHeaderRow="1" firstDataRow="2" firstDataCol="1"/>
  <pivotFields count="13"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5"/>
        <item x="7"/>
        <item x="2"/>
        <item x="10"/>
        <item x="9"/>
        <item x="8"/>
        <item x="3"/>
        <item x="6"/>
        <item x="4"/>
        <item x="11"/>
        <item x="1"/>
        <item x="0"/>
        <item t="default"/>
      </items>
    </pivotField>
    <pivotField showAll="0"/>
    <pivotField showAll="0"/>
    <pivotField showAll="0"/>
    <pivotField axis="axisRow" showAll="0">
      <items count="6">
        <item x="2"/>
        <item x="3"/>
        <item x="0"/>
        <item x="1"/>
        <item x="4"/>
        <item t="default"/>
      </items>
    </pivotField>
    <pivotField axis="axisCol" dataField="1" showAll="0">
      <items count="6">
        <item x="2"/>
        <item x="1"/>
        <item x="0"/>
        <item x="3"/>
        <item x="4"/>
        <item t="default"/>
      </items>
    </pivotField>
  </pivotFields>
  <rowFields count="1">
    <field x="11"/>
  </rowFields>
  <rowItems count="5">
    <i>
      <x/>
    </i>
    <i>
      <x v="1"/>
    </i>
    <i>
      <x v="2"/>
    </i>
    <i>
      <x v="3"/>
    </i>
    <i>
      <x v="4"/>
    </i>
  </rowItems>
  <colFields count="1">
    <field x="12"/>
  </colFields>
  <colItems count="5">
    <i>
      <x/>
    </i>
    <i>
      <x v="1"/>
    </i>
    <i>
      <x v="2"/>
    </i>
    <i>
      <x v="3"/>
    </i>
    <i>
      <x v="4"/>
    </i>
  </colItems>
  <dataFields count="1">
    <dataField name="Count of Price Range" fld="12" subtotal="count" baseField="0" baseItem="0"/>
  </dataFields>
  <chartFormats count="5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E7CF06-EAAC-466E-8B76-9F55DF2BBFE4}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7">
  <location ref="A2:M8" firstHeaderRow="1" firstDataRow="2" firstDataCol="1"/>
  <pivotFields count="13">
    <pivotField showAll="0"/>
    <pivotField dataField="1" showAll="0"/>
    <pivotField showAll="0"/>
    <pivotField showAll="0"/>
    <pivotField showAll="0"/>
    <pivotField showAll="0"/>
    <pivotField showAll="0"/>
    <pivotField axis="axisCol" showAll="0">
      <items count="13">
        <item x="5"/>
        <item x="7"/>
        <item x="2"/>
        <item x="10"/>
        <item x="9"/>
        <item x="8"/>
        <item x="3"/>
        <item x="6"/>
        <item x="4"/>
        <item x="11"/>
        <item x="1"/>
        <item x="0"/>
        <item t="default"/>
      </items>
    </pivotField>
    <pivotField showAll="0"/>
    <pivotField showAll="0"/>
    <pivotField showAll="0"/>
    <pivotField axis="axisRow" showAll="0">
      <items count="6">
        <item x="2"/>
        <item x="3"/>
        <item x="0"/>
        <item x="1"/>
        <item x="4"/>
        <item t="default"/>
      </items>
    </pivotField>
    <pivotField showAll="0"/>
  </pivotFields>
  <rowFields count="1">
    <field x="11"/>
  </rowFields>
  <rowItems count="5">
    <i>
      <x/>
    </i>
    <i>
      <x v="1"/>
    </i>
    <i>
      <x v="2"/>
    </i>
    <i>
      <x v="3"/>
    </i>
    <i>
      <x v="4"/>
    </i>
  </rowItems>
  <colFields count="1">
    <field x="7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colItems>
  <dataFields count="1">
    <dataField name="Count of Book name" fld="1" subtotal="count" baseField="0" baseItem="0"/>
  </dataField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76C8B6-15A7-4CEF-A6E0-8B3C08C2B070}" name="PivotTable5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9">
  <location ref="A66:M70" firstHeaderRow="1" firstDataRow="2" firstDataCol="1"/>
  <pivotFields count="13">
    <pivotField showAll="0"/>
    <pivotField showAll="0"/>
    <pivotField showAll="0"/>
    <pivotField showAll="0"/>
    <pivotField showAll="0"/>
    <pivotField axis="axisRow" dataField="1" showAll="0">
      <items count="4">
        <item x="2"/>
        <item x="0"/>
        <item x="1"/>
        <item t="default"/>
      </items>
    </pivotField>
    <pivotField showAll="0"/>
    <pivotField axis="axisCol" showAll="0">
      <items count="13">
        <item x="5"/>
        <item x="7"/>
        <item x="2"/>
        <item x="10"/>
        <item x="9"/>
        <item x="8"/>
        <item x="3"/>
        <item x="6"/>
        <item x="4"/>
        <item x="11"/>
        <item x="1"/>
        <item x="0"/>
        <item t="default"/>
      </items>
    </pivotField>
    <pivotField showAll="0"/>
    <pivotField showAll="0">
      <items count="25">
        <item x="12"/>
        <item x="14"/>
        <item x="7"/>
        <item x="23"/>
        <item x="11"/>
        <item x="9"/>
        <item x="20"/>
        <item x="4"/>
        <item x="18"/>
        <item x="22"/>
        <item x="19"/>
        <item x="17"/>
        <item x="15"/>
        <item x="16"/>
        <item x="5"/>
        <item x="6"/>
        <item x="21"/>
        <item x="0"/>
        <item x="13"/>
        <item x="10"/>
        <item x="8"/>
        <item x="3"/>
        <item x="1"/>
        <item x="2"/>
        <item t="default"/>
      </items>
    </pivotField>
    <pivotField showAll="0">
      <items count="16">
        <item x="7"/>
        <item x="2"/>
        <item x="12"/>
        <item x="9"/>
        <item x="13"/>
        <item x="10"/>
        <item x="1"/>
        <item x="4"/>
        <item x="11"/>
        <item x="5"/>
        <item x="3"/>
        <item x="8"/>
        <item x="6"/>
        <item x="14"/>
        <item x="0"/>
        <item t="default"/>
      </items>
    </pivotField>
    <pivotField showAll="0">
      <items count="6">
        <item x="2"/>
        <item x="3"/>
        <item x="0"/>
        <item x="1"/>
        <item x="4"/>
        <item t="default"/>
      </items>
    </pivotField>
    <pivotField showAll="0">
      <items count="6">
        <item x="2"/>
        <item x="1"/>
        <item x="0"/>
        <item x="3"/>
        <item x="4"/>
        <item t="default"/>
      </items>
    </pivotField>
  </pivotFields>
  <rowFields count="1">
    <field x="5"/>
  </rowFields>
  <rowItems count="3">
    <i>
      <x/>
    </i>
    <i>
      <x v="1"/>
    </i>
    <i>
      <x v="2"/>
    </i>
  </rowItems>
  <colFields count="1">
    <field x="7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colItems>
  <dataFields count="1">
    <dataField name="Count of form" fld="5" subtotal="count" baseField="0" baseItem="0"/>
  </dataFields>
  <chartFormats count="12"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4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4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4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4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7FDFD8-6B72-405E-9A3E-01B164F1B120}" name="PivotTable4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8">
  <location ref="A47:B62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showAll="0"/>
    <pivotField showAll="0">
      <items count="13">
        <item x="5"/>
        <item x="7"/>
        <item x="2"/>
        <item x="10"/>
        <item x="9"/>
        <item x="8"/>
        <item x="3"/>
        <item x="6"/>
        <item x="4"/>
        <item x="11"/>
        <item x="1"/>
        <item x="0"/>
        <item t="default"/>
      </items>
    </pivotField>
    <pivotField showAll="0"/>
    <pivotField showAll="0">
      <items count="25">
        <item x="12"/>
        <item x="14"/>
        <item x="7"/>
        <item x="23"/>
        <item x="11"/>
        <item x="9"/>
        <item x="20"/>
        <item x="4"/>
        <item x="18"/>
        <item x="22"/>
        <item x="19"/>
        <item x="17"/>
        <item x="15"/>
        <item x="16"/>
        <item x="5"/>
        <item x="6"/>
        <item x="21"/>
        <item x="0"/>
        <item x="13"/>
        <item x="10"/>
        <item x="8"/>
        <item x="3"/>
        <item x="1"/>
        <item x="2"/>
        <item t="default"/>
      </items>
    </pivotField>
    <pivotField axis="axisRow" showAll="0" sortType="descending">
      <items count="16">
        <item x="7"/>
        <item x="2"/>
        <item x="12"/>
        <item x="9"/>
        <item x="13"/>
        <item x="10"/>
        <item x="1"/>
        <item x="4"/>
        <item x="11"/>
        <item x="5"/>
        <item x="3"/>
        <item x="8"/>
        <item x="6"/>
        <item x="14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6">
        <item x="2"/>
        <item x="3"/>
        <item x="0"/>
        <item x="1"/>
        <item x="4"/>
        <item t="default"/>
      </items>
    </pivotField>
    <pivotField showAll="0">
      <items count="6">
        <item x="2"/>
        <item x="1"/>
        <item x="0"/>
        <item x="3"/>
        <item x="4"/>
        <item t="default"/>
      </items>
    </pivotField>
  </pivotFields>
  <rowFields count="1">
    <field x="10"/>
  </rowFields>
  <rowItems count="15">
    <i>
      <x v="6"/>
    </i>
    <i>
      <x v="12"/>
    </i>
    <i>
      <x v="14"/>
    </i>
    <i>
      <x v="1"/>
    </i>
    <i>
      <x v="9"/>
    </i>
    <i>
      <x v="7"/>
    </i>
    <i>
      <x v="2"/>
    </i>
    <i>
      <x v="10"/>
    </i>
    <i>
      <x v="5"/>
    </i>
    <i>
      <x/>
    </i>
    <i>
      <x v="3"/>
    </i>
    <i>
      <x v="4"/>
    </i>
    <i>
      <x v="13"/>
    </i>
    <i>
      <x v="8"/>
    </i>
    <i>
      <x v="11"/>
    </i>
  </rowItems>
  <colItems count="1">
    <i/>
  </colItems>
  <dataFields count="1">
    <dataField name="Book count" fld="3" subtotal="count" baseField="10" baseItem="0"/>
  </dataField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14">
    <queryTableFields count="13">
      <queryTableField id="1" name="id.2" tableColumnId="1"/>
      <queryTableField id="2" name="Book name" tableColumnId="2"/>
      <queryTableField id="3" name="Author" tableColumnId="3"/>
      <queryTableField id="4" name="Rating out of 5" tableColumnId="4"/>
      <queryTableField id="5" name="reviews count" tableColumnId="5"/>
      <queryTableField id="6" name="form" tableColumnId="6"/>
      <queryTableField id="7" name="price" tableColumnId="7"/>
      <queryTableField id="8" name="Reading age" tableColumnId="8"/>
      <queryTableField id="9" name="Print Length" tableColumnId="9"/>
      <queryTableField id="10" name="Publishing date" tableColumnId="10"/>
      <queryTableField id="11" name="Genre" tableColumnId="11"/>
      <queryTableField id="12" name="Book Volume" tableColumnId="12"/>
      <queryTableField id="13" name="Custom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best_sellin_books_2025" displayName="best_sellin_books_2025" ref="A1:M99" tableType="queryTable" totalsRowShown="0">
  <autoFilter ref="A1:M99" xr:uid="{00000000-0009-0000-0100-000004000000}"/>
  <tableColumns count="13">
    <tableColumn id="1" xr3:uid="{00000000-0010-0000-0000-000001000000}" uniqueName="1" name="id.2" queryTableFieldId="1"/>
    <tableColumn id="2" xr3:uid="{00000000-0010-0000-0000-000002000000}" uniqueName="2" name="Book name" queryTableFieldId="2"/>
    <tableColumn id="3" xr3:uid="{00000000-0010-0000-0000-000003000000}" uniqueName="3" name="Author" queryTableFieldId="3"/>
    <tableColumn id="4" xr3:uid="{00000000-0010-0000-0000-000004000000}" uniqueName="4" name="Rating out of 5" queryTableFieldId="4"/>
    <tableColumn id="5" xr3:uid="{00000000-0010-0000-0000-000005000000}" uniqueName="5" name="reviews count" queryTableFieldId="5"/>
    <tableColumn id="6" xr3:uid="{00000000-0010-0000-0000-000006000000}" uniqueName="6" name="form" queryTableFieldId="6"/>
    <tableColumn id="7" xr3:uid="{00000000-0010-0000-0000-000007000000}" uniqueName="7" name="price" queryTableFieldId="7"/>
    <tableColumn id="8" xr3:uid="{00000000-0010-0000-0000-000008000000}" uniqueName="8" name="Reading age" queryTableFieldId="8"/>
    <tableColumn id="9" xr3:uid="{00000000-0010-0000-0000-000009000000}" uniqueName="9" name="Print Length" queryTableFieldId="9"/>
    <tableColumn id="10" xr3:uid="{00000000-0010-0000-0000-00000A000000}" uniqueName="10" name="Publishing date" queryTableFieldId="10"/>
    <tableColumn id="11" xr3:uid="{00000000-0010-0000-0000-00000B000000}" uniqueName="11" name="Genre" queryTableFieldId="11"/>
    <tableColumn id="12" xr3:uid="{00000000-0010-0000-0000-00000C000000}" uniqueName="12" name="Book Volume" queryTableFieldId="12"/>
    <tableColumn id="13" xr3:uid="{00000000-0010-0000-0000-00000D000000}" uniqueName="13" name="Price Range" queryTableFieldId="1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K101" totalsRowShown="0">
  <autoFilter ref="A1:K101" xr:uid="{00000000-0009-0000-0100-000001000000}"/>
  <tableColumns count="11">
    <tableColumn id="1" xr3:uid="{00000000-0010-0000-0100-000001000000}" name="id"/>
    <tableColumn id="2" xr3:uid="{00000000-0010-0000-0100-000002000000}" name="Book name"/>
    <tableColumn id="3" xr3:uid="{00000000-0010-0000-0100-000003000000}" name="Author"/>
    <tableColumn id="4" xr3:uid="{00000000-0010-0000-0100-000004000000}" name="Rating"/>
    <tableColumn id="5" xr3:uid="{00000000-0010-0000-0100-000005000000}" name="reviews count"/>
    <tableColumn id="6" xr3:uid="{00000000-0010-0000-0100-000006000000}" name="form"/>
    <tableColumn id="7" xr3:uid="{00000000-0010-0000-0100-000007000000}" name="price"/>
    <tableColumn id="8" xr3:uid="{00000000-0010-0000-0100-000008000000}" name="Reading age"/>
    <tableColumn id="9" xr3:uid="{00000000-0010-0000-0100-000009000000}" name="Print Length"/>
    <tableColumn id="10" xr3:uid="{00000000-0010-0000-0100-00000A000000}" name="Publishing date" dataDxfId="0"/>
    <tableColumn id="11" xr3:uid="{00000000-0010-0000-0100-00000B000000}" name="Gen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M81"/>
  <sheetViews>
    <sheetView tabSelected="1" topLeftCell="A66" zoomScale="80" zoomScaleNormal="80" workbookViewId="0">
      <selection activeCell="T58" sqref="T55:V58"/>
    </sheetView>
  </sheetViews>
  <sheetFormatPr defaultRowHeight="14.5" x14ac:dyDescent="0.35"/>
  <cols>
    <col min="1" max="1" width="13.36328125" bestFit="1" customWidth="1"/>
    <col min="2" max="2" width="16.453125" bestFit="1" customWidth="1"/>
    <col min="3" max="3" width="7.1796875" bestFit="1" customWidth="1"/>
    <col min="4" max="4" width="9.6328125" bestFit="1" customWidth="1"/>
    <col min="5" max="6" width="7.90625" bestFit="1" customWidth="1"/>
    <col min="7" max="7" width="9.6328125" customWidth="1"/>
    <col min="8" max="10" width="7.90625" bestFit="1" customWidth="1"/>
    <col min="11" max="11" width="9.453125" bestFit="1" customWidth="1"/>
    <col min="12" max="12" width="9" bestFit="1" customWidth="1"/>
    <col min="13" max="13" width="4.08984375" bestFit="1" customWidth="1"/>
    <col min="14" max="14" width="6" customWidth="1"/>
    <col min="15" max="15" width="8.90625" customWidth="1"/>
    <col min="16" max="16" width="13.81640625" customWidth="1"/>
    <col min="17" max="17" width="13.90625" customWidth="1"/>
    <col min="18" max="18" width="15.90625" customWidth="1"/>
    <col min="19" max="19" width="10.08984375" customWidth="1"/>
    <col min="20" max="20" width="6.6328125" customWidth="1"/>
    <col min="21" max="21" width="6.54296875" customWidth="1"/>
    <col min="22" max="22" width="8.81640625" customWidth="1"/>
    <col min="23" max="23" width="26.36328125" bestFit="1" customWidth="1"/>
    <col min="24" max="26" width="28.26953125" bestFit="1" customWidth="1"/>
    <col min="27" max="27" width="31.26953125" bestFit="1" customWidth="1"/>
    <col min="28" max="29" width="23.26953125" bestFit="1" customWidth="1"/>
    <col min="30" max="30" width="26.26953125" bestFit="1" customWidth="1"/>
    <col min="31" max="31" width="16.90625" bestFit="1" customWidth="1"/>
    <col min="32" max="32" width="19.90625" bestFit="1" customWidth="1"/>
    <col min="33" max="35" width="17.90625" bestFit="1" customWidth="1"/>
    <col min="36" max="36" width="20.90625" bestFit="1" customWidth="1"/>
    <col min="37" max="37" width="10.36328125" bestFit="1" customWidth="1"/>
    <col min="38" max="38" width="13.36328125" bestFit="1" customWidth="1"/>
    <col min="39" max="40" width="17.81640625" bestFit="1" customWidth="1"/>
    <col min="41" max="41" width="20.81640625" bestFit="1" customWidth="1"/>
  </cols>
  <sheetData>
    <row r="2" spans="1:13" x14ac:dyDescent="0.35">
      <c r="A2" s="2" t="s">
        <v>511</v>
      </c>
      <c r="B2" s="2" t="s">
        <v>501</v>
      </c>
    </row>
    <row r="3" spans="1:13" x14ac:dyDescent="0.35">
      <c r="A3" s="2" t="s">
        <v>500</v>
      </c>
      <c r="B3" t="s">
        <v>510</v>
      </c>
      <c r="C3" t="s">
        <v>492</v>
      </c>
      <c r="D3" t="s">
        <v>80</v>
      </c>
      <c r="E3" t="s">
        <v>494</v>
      </c>
      <c r="F3" t="s">
        <v>493</v>
      </c>
      <c r="G3" t="s">
        <v>183</v>
      </c>
      <c r="H3" t="s">
        <v>489</v>
      </c>
      <c r="I3" t="s">
        <v>491</v>
      </c>
      <c r="J3" t="s">
        <v>490</v>
      </c>
      <c r="K3" t="s">
        <v>495</v>
      </c>
      <c r="L3" t="s">
        <v>488</v>
      </c>
      <c r="M3" t="s">
        <v>487</v>
      </c>
    </row>
    <row r="4" spans="1:13" x14ac:dyDescent="0.35">
      <c r="A4" s="3" t="s">
        <v>503</v>
      </c>
      <c r="B4" s="4">
        <v>5</v>
      </c>
      <c r="C4" s="4"/>
      <c r="D4" s="4">
        <v>4</v>
      </c>
      <c r="E4" s="4">
        <v>2</v>
      </c>
      <c r="F4" s="4">
        <v>4</v>
      </c>
      <c r="G4" s="4"/>
      <c r="H4" s="4">
        <v>1</v>
      </c>
      <c r="I4" s="4"/>
      <c r="J4" s="4"/>
      <c r="K4" s="4"/>
      <c r="L4" s="4"/>
      <c r="M4" s="4"/>
    </row>
    <row r="5" spans="1:13" x14ac:dyDescent="0.35">
      <c r="A5" s="3" t="s">
        <v>499</v>
      </c>
      <c r="B5" s="4"/>
      <c r="C5" s="4"/>
      <c r="D5" s="4"/>
      <c r="E5" s="4"/>
      <c r="F5" s="4"/>
      <c r="G5" s="4">
        <v>2</v>
      </c>
      <c r="H5" s="4"/>
      <c r="I5" s="4">
        <v>1</v>
      </c>
      <c r="J5" s="4"/>
      <c r="K5" s="4"/>
      <c r="L5" s="4"/>
      <c r="M5" s="4">
        <v>1</v>
      </c>
    </row>
    <row r="6" spans="1:13" x14ac:dyDescent="0.35">
      <c r="A6" s="3" t="s">
        <v>502</v>
      </c>
      <c r="B6" s="4"/>
      <c r="C6" s="4">
        <v>2</v>
      </c>
      <c r="D6" s="4">
        <v>1</v>
      </c>
      <c r="E6" s="4"/>
      <c r="F6" s="4"/>
      <c r="G6" s="4"/>
      <c r="H6" s="4"/>
      <c r="I6" s="4">
        <v>1</v>
      </c>
      <c r="J6" s="4">
        <v>2</v>
      </c>
      <c r="K6" s="4"/>
      <c r="L6" s="4">
        <v>1</v>
      </c>
      <c r="M6" s="4">
        <v>52</v>
      </c>
    </row>
    <row r="7" spans="1:13" x14ac:dyDescent="0.35">
      <c r="A7" s="3" t="s">
        <v>497</v>
      </c>
      <c r="B7" s="4"/>
      <c r="C7" s="4"/>
      <c r="D7" s="4"/>
      <c r="E7" s="4"/>
      <c r="F7" s="4"/>
      <c r="G7" s="4"/>
      <c r="H7" s="4"/>
      <c r="I7" s="4"/>
      <c r="J7" s="4"/>
      <c r="K7" s="4">
        <v>2</v>
      </c>
      <c r="L7" s="4"/>
      <c r="M7" s="4">
        <v>16</v>
      </c>
    </row>
    <row r="8" spans="1:13" x14ac:dyDescent="0.35">
      <c r="A8" s="3" t="s">
        <v>498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>
        <v>1</v>
      </c>
    </row>
    <row r="12" spans="1:13" x14ac:dyDescent="0.35">
      <c r="A12" s="2" t="s">
        <v>512</v>
      </c>
      <c r="B12" s="2" t="s">
        <v>501</v>
      </c>
    </row>
    <row r="13" spans="1:13" x14ac:dyDescent="0.35">
      <c r="A13" s="2" t="s">
        <v>500</v>
      </c>
      <c r="B13" t="s">
        <v>506</v>
      </c>
      <c r="C13" t="s">
        <v>505</v>
      </c>
      <c r="D13" t="s">
        <v>504</v>
      </c>
      <c r="E13" t="s">
        <v>507</v>
      </c>
      <c r="F13" t="s">
        <v>508</v>
      </c>
    </row>
    <row r="14" spans="1:13" x14ac:dyDescent="0.35">
      <c r="A14" s="3" t="s">
        <v>503</v>
      </c>
      <c r="B14" s="4">
        <v>13</v>
      </c>
      <c r="C14" s="4">
        <v>3</v>
      </c>
      <c r="D14" s="4"/>
      <c r="E14" s="4"/>
      <c r="F14" s="4"/>
    </row>
    <row r="15" spans="1:13" x14ac:dyDescent="0.35">
      <c r="A15" s="3" t="s">
        <v>499</v>
      </c>
      <c r="B15" s="4">
        <v>1</v>
      </c>
      <c r="C15" s="4">
        <v>1</v>
      </c>
      <c r="D15" s="4">
        <v>1</v>
      </c>
      <c r="E15" s="4">
        <v>1</v>
      </c>
      <c r="F15" s="4"/>
    </row>
    <row r="16" spans="1:13" x14ac:dyDescent="0.35">
      <c r="A16" s="3" t="s">
        <v>502</v>
      </c>
      <c r="B16" s="4">
        <v>8</v>
      </c>
      <c r="C16" s="4">
        <v>42</v>
      </c>
      <c r="D16" s="4">
        <v>8</v>
      </c>
      <c r="E16" s="4">
        <v>1</v>
      </c>
      <c r="F16" s="4"/>
    </row>
    <row r="17" spans="1:6" x14ac:dyDescent="0.35">
      <c r="A17" s="3" t="s">
        <v>497</v>
      </c>
      <c r="B17" s="4"/>
      <c r="C17" s="4">
        <v>12</v>
      </c>
      <c r="D17" s="4">
        <v>4</v>
      </c>
      <c r="E17" s="4">
        <v>2</v>
      </c>
      <c r="F17" s="4"/>
    </row>
    <row r="18" spans="1:6" x14ac:dyDescent="0.35">
      <c r="A18" s="3" t="s">
        <v>498</v>
      </c>
      <c r="B18" s="4"/>
      <c r="C18" s="4"/>
      <c r="D18" s="4"/>
      <c r="E18" s="4"/>
      <c r="F18" s="4">
        <v>1</v>
      </c>
    </row>
    <row r="21" spans="1:6" x14ac:dyDescent="0.35">
      <c r="A21" s="2" t="s">
        <v>500</v>
      </c>
      <c r="B21" t="s">
        <v>512</v>
      </c>
    </row>
    <row r="22" spans="1:6" x14ac:dyDescent="0.35">
      <c r="A22" s="3">
        <v>1990</v>
      </c>
      <c r="B22" s="4">
        <v>1</v>
      </c>
    </row>
    <row r="23" spans="1:6" x14ac:dyDescent="0.35">
      <c r="A23" s="3">
        <v>1991</v>
      </c>
      <c r="B23" s="4">
        <v>1</v>
      </c>
    </row>
    <row r="24" spans="1:6" x14ac:dyDescent="0.35">
      <c r="A24" s="3">
        <v>1994</v>
      </c>
      <c r="B24" s="4">
        <v>1</v>
      </c>
    </row>
    <row r="25" spans="1:6" x14ac:dyDescent="0.35">
      <c r="A25" s="3">
        <v>1995</v>
      </c>
      <c r="B25" s="4">
        <v>1</v>
      </c>
    </row>
    <row r="26" spans="1:6" x14ac:dyDescent="0.35">
      <c r="A26" s="3">
        <v>1996</v>
      </c>
      <c r="B26" s="4">
        <v>1</v>
      </c>
    </row>
    <row r="27" spans="1:6" x14ac:dyDescent="0.35">
      <c r="A27" s="3">
        <v>1997</v>
      </c>
      <c r="B27" s="4">
        <v>1</v>
      </c>
    </row>
    <row r="28" spans="1:6" x14ac:dyDescent="0.35">
      <c r="A28" s="3">
        <v>1998</v>
      </c>
      <c r="B28" s="4">
        <v>1</v>
      </c>
    </row>
    <row r="29" spans="1:6" x14ac:dyDescent="0.35">
      <c r="A29" s="3">
        <v>2000</v>
      </c>
      <c r="B29" s="4">
        <v>1</v>
      </c>
    </row>
    <row r="30" spans="1:6" x14ac:dyDescent="0.35">
      <c r="A30" s="3">
        <v>2003</v>
      </c>
      <c r="B30" s="4">
        <v>1</v>
      </c>
    </row>
    <row r="31" spans="1:6" x14ac:dyDescent="0.35">
      <c r="A31" s="3">
        <v>2006</v>
      </c>
      <c r="B31" s="4">
        <v>1</v>
      </c>
    </row>
    <row r="32" spans="1:6" x14ac:dyDescent="0.35">
      <c r="A32" s="3">
        <v>2007</v>
      </c>
      <c r="B32" s="4">
        <v>1</v>
      </c>
    </row>
    <row r="33" spans="1:2" x14ac:dyDescent="0.35">
      <c r="A33" s="3">
        <v>2012</v>
      </c>
      <c r="B33" s="4">
        <v>2</v>
      </c>
    </row>
    <row r="34" spans="1:2" x14ac:dyDescent="0.35">
      <c r="A34" s="3">
        <v>2013</v>
      </c>
      <c r="B34" s="4">
        <v>2</v>
      </c>
    </row>
    <row r="35" spans="1:2" x14ac:dyDescent="0.35">
      <c r="A35" s="3">
        <v>2014</v>
      </c>
      <c r="B35" s="4">
        <v>3</v>
      </c>
    </row>
    <row r="36" spans="1:2" x14ac:dyDescent="0.35">
      <c r="A36" s="3">
        <v>2015</v>
      </c>
      <c r="B36" s="4">
        <v>4</v>
      </c>
    </row>
    <row r="37" spans="1:2" x14ac:dyDescent="0.35">
      <c r="A37" s="3">
        <v>2016</v>
      </c>
      <c r="B37" s="4">
        <v>4</v>
      </c>
    </row>
    <row r="38" spans="1:2" x14ac:dyDescent="0.35">
      <c r="A38" s="3">
        <v>2017</v>
      </c>
      <c r="B38" s="4">
        <v>2</v>
      </c>
    </row>
    <row r="39" spans="1:2" x14ac:dyDescent="0.35">
      <c r="A39" s="3">
        <v>2018</v>
      </c>
      <c r="B39" s="4">
        <v>8</v>
      </c>
    </row>
    <row r="40" spans="1:2" x14ac:dyDescent="0.35">
      <c r="A40" s="3">
        <v>2019</v>
      </c>
      <c r="B40" s="4">
        <v>6</v>
      </c>
    </row>
    <row r="41" spans="1:2" x14ac:dyDescent="0.35">
      <c r="A41" s="3">
        <v>2020</v>
      </c>
      <c r="B41" s="4">
        <v>7</v>
      </c>
    </row>
    <row r="42" spans="1:2" x14ac:dyDescent="0.35">
      <c r="A42" s="3">
        <v>2021</v>
      </c>
      <c r="B42" s="4">
        <v>5</v>
      </c>
    </row>
    <row r="43" spans="1:2" x14ac:dyDescent="0.35">
      <c r="A43" s="3">
        <v>2022</v>
      </c>
      <c r="B43" s="4">
        <v>16</v>
      </c>
    </row>
    <row r="44" spans="1:2" x14ac:dyDescent="0.35">
      <c r="A44" s="3">
        <v>2023</v>
      </c>
      <c r="B44" s="4">
        <v>26</v>
      </c>
    </row>
    <row r="45" spans="1:2" x14ac:dyDescent="0.35">
      <c r="A45" s="3">
        <v>2024</v>
      </c>
      <c r="B45" s="4">
        <v>2</v>
      </c>
    </row>
    <row r="47" spans="1:2" x14ac:dyDescent="0.35">
      <c r="A47" s="2" t="s">
        <v>500</v>
      </c>
      <c r="B47" t="s">
        <v>513</v>
      </c>
    </row>
    <row r="48" spans="1:2" x14ac:dyDescent="0.35">
      <c r="A48" s="3" t="s">
        <v>23</v>
      </c>
      <c r="B48" s="4">
        <v>33</v>
      </c>
    </row>
    <row r="49" spans="1:2" x14ac:dyDescent="0.35">
      <c r="A49" s="3" t="s">
        <v>81</v>
      </c>
      <c r="B49" s="4">
        <v>17</v>
      </c>
    </row>
    <row r="50" spans="1:2" x14ac:dyDescent="0.35">
      <c r="A50" s="3" t="s">
        <v>17</v>
      </c>
      <c r="B50" s="4">
        <v>8</v>
      </c>
    </row>
    <row r="51" spans="1:2" x14ac:dyDescent="0.35">
      <c r="A51" s="3" t="s">
        <v>30</v>
      </c>
      <c r="B51" s="4">
        <v>7</v>
      </c>
    </row>
    <row r="52" spans="1:2" x14ac:dyDescent="0.35">
      <c r="A52" s="3" t="s">
        <v>73</v>
      </c>
      <c r="B52" s="4">
        <v>6</v>
      </c>
    </row>
    <row r="53" spans="1:2" x14ac:dyDescent="0.35">
      <c r="A53" s="3" t="s">
        <v>57</v>
      </c>
      <c r="B53" s="4">
        <v>6</v>
      </c>
    </row>
    <row r="54" spans="1:2" x14ac:dyDescent="0.35">
      <c r="A54" s="3" t="s">
        <v>173</v>
      </c>
      <c r="B54" s="4">
        <v>5</v>
      </c>
    </row>
    <row r="55" spans="1:2" x14ac:dyDescent="0.35">
      <c r="A55" s="3" t="s">
        <v>51</v>
      </c>
      <c r="B55" s="4">
        <v>4</v>
      </c>
    </row>
    <row r="56" spans="1:2" x14ac:dyDescent="0.35">
      <c r="A56" s="3" t="s">
        <v>158</v>
      </c>
      <c r="B56" s="4">
        <v>3</v>
      </c>
    </row>
    <row r="57" spans="1:2" x14ac:dyDescent="0.35">
      <c r="A57" s="3" t="s">
        <v>103</v>
      </c>
      <c r="B57" s="4">
        <v>3</v>
      </c>
    </row>
    <row r="58" spans="1:2" x14ac:dyDescent="0.35">
      <c r="A58" s="3" t="s">
        <v>138</v>
      </c>
      <c r="B58" s="4">
        <v>2</v>
      </c>
    </row>
    <row r="59" spans="1:2" x14ac:dyDescent="0.35">
      <c r="A59" s="3" t="s">
        <v>268</v>
      </c>
      <c r="B59" s="4">
        <v>1</v>
      </c>
    </row>
    <row r="60" spans="1:2" x14ac:dyDescent="0.35">
      <c r="A60" s="3" t="s">
        <v>305</v>
      </c>
      <c r="B60" s="4">
        <v>1</v>
      </c>
    </row>
    <row r="61" spans="1:2" x14ac:dyDescent="0.35">
      <c r="A61" s="3" t="s">
        <v>168</v>
      </c>
      <c r="B61" s="4">
        <v>1</v>
      </c>
    </row>
    <row r="62" spans="1:2" x14ac:dyDescent="0.35">
      <c r="A62" s="3" t="s">
        <v>121</v>
      </c>
      <c r="B62" s="4">
        <v>1</v>
      </c>
    </row>
    <row r="66" spans="1:13" x14ac:dyDescent="0.35">
      <c r="A66" s="2" t="s">
        <v>514</v>
      </c>
      <c r="B66" s="2" t="s">
        <v>501</v>
      </c>
    </row>
    <row r="67" spans="1:13" x14ac:dyDescent="0.35">
      <c r="A67" s="2" t="s">
        <v>500</v>
      </c>
      <c r="B67" t="s">
        <v>510</v>
      </c>
      <c r="C67" t="s">
        <v>492</v>
      </c>
      <c r="D67" t="s">
        <v>80</v>
      </c>
      <c r="E67" t="s">
        <v>494</v>
      </c>
      <c r="F67" t="s">
        <v>493</v>
      </c>
      <c r="G67" t="s">
        <v>183</v>
      </c>
      <c r="H67" t="s">
        <v>489</v>
      </c>
      <c r="I67" t="s">
        <v>491</v>
      </c>
      <c r="J67" t="s">
        <v>490</v>
      </c>
      <c r="K67" t="s">
        <v>495</v>
      </c>
      <c r="L67" t="s">
        <v>488</v>
      </c>
      <c r="M67" t="s">
        <v>487</v>
      </c>
    </row>
    <row r="68" spans="1:13" x14ac:dyDescent="0.35">
      <c r="A68" s="3" t="s">
        <v>78</v>
      </c>
      <c r="B68" s="4">
        <v>4</v>
      </c>
      <c r="C68" s="4"/>
      <c r="D68" s="4">
        <v>4</v>
      </c>
      <c r="E68" s="4"/>
      <c r="F68" s="4"/>
      <c r="G68" s="4"/>
      <c r="H68" s="4"/>
      <c r="I68" s="4"/>
      <c r="J68" s="4"/>
      <c r="K68" s="4"/>
      <c r="L68" s="4"/>
      <c r="M68" s="4">
        <v>1</v>
      </c>
    </row>
    <row r="69" spans="1:13" x14ac:dyDescent="0.35">
      <c r="A69" s="3" t="s">
        <v>15</v>
      </c>
      <c r="B69" s="4"/>
      <c r="C69" s="4">
        <v>2</v>
      </c>
      <c r="D69" s="4">
        <v>1</v>
      </c>
      <c r="E69" s="4">
        <v>1</v>
      </c>
      <c r="F69" s="4">
        <v>4</v>
      </c>
      <c r="G69" s="4">
        <v>1</v>
      </c>
      <c r="H69" s="4">
        <v>1</v>
      </c>
      <c r="I69" s="4">
        <v>2</v>
      </c>
      <c r="J69" s="4">
        <v>2</v>
      </c>
      <c r="K69" s="4"/>
      <c r="L69" s="4"/>
      <c r="M69" s="4">
        <v>24</v>
      </c>
    </row>
    <row r="70" spans="1:13" x14ac:dyDescent="0.35">
      <c r="A70" s="3" t="s">
        <v>33</v>
      </c>
      <c r="B70" s="4">
        <v>1</v>
      </c>
      <c r="C70" s="4"/>
      <c r="D70" s="4"/>
      <c r="E70" s="4">
        <v>1</v>
      </c>
      <c r="F70" s="4"/>
      <c r="G70" s="4">
        <v>1</v>
      </c>
      <c r="H70" s="4"/>
      <c r="I70" s="4"/>
      <c r="J70" s="4"/>
      <c r="K70" s="4">
        <v>2</v>
      </c>
      <c r="L70" s="4">
        <v>1</v>
      </c>
      <c r="M70" s="4">
        <v>45</v>
      </c>
    </row>
    <row r="75" spans="1:13" x14ac:dyDescent="0.35">
      <c r="B75" t="str">
        <f t="array" ref="B75">VLOOKUP("Spare",Sheet4!B:L,{2,3,4},FALSE)</f>
        <v>Prince Harry  The Duke of Sussex</v>
      </c>
      <c r="G75" s="7" t="s">
        <v>515</v>
      </c>
      <c r="H75" s="7"/>
    </row>
    <row r="77" spans="1:13" x14ac:dyDescent="0.35">
      <c r="B77" t="str">
        <f t="array" ref="B77:D77">VLOOKUP("Spare",Sheet4!B:L,{2,3,4},FALSE)</f>
        <v>Prince Harry  The Duke of Sussex</v>
      </c>
      <c r="C77">
        <v>4.5</v>
      </c>
      <c r="D77">
        <v>116101</v>
      </c>
    </row>
    <row r="78" spans="1:13" x14ac:dyDescent="0.35">
      <c r="B78" s="5" t="str">
        <f t="array" ref="B78:E78">VLOOKUP("meditations",Sheet4!B:L,{2,5,7,10},FALSE)</f>
        <v>Marcus Aurelius</v>
      </c>
      <c r="C78" s="5" t="str">
        <v>Paperback</v>
      </c>
      <c r="D78" s="5" t="str">
        <v>ALL</v>
      </c>
      <c r="E78" s="5" t="str">
        <v>Politics &amp; Social Sciences</v>
      </c>
    </row>
    <row r="81" spans="2:5" x14ac:dyDescent="0.35">
      <c r="B81" s="6" t="str">
        <f>VLOOKUP("the housemaid",Sheet4!B:L,{2,5,7,10},FALSE)</f>
        <v>Freida McFadden</v>
      </c>
      <c r="C81" s="6"/>
      <c r="D81" s="6"/>
      <c r="E81" s="6"/>
    </row>
  </sheetData>
  <mergeCells count="2">
    <mergeCell ref="B81:E81"/>
    <mergeCell ref="G75:H75"/>
  </mergeCell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99"/>
  <sheetViews>
    <sheetView topLeftCell="C9" workbookViewId="0">
      <selection activeCell="AC15" sqref="AC15"/>
    </sheetView>
  </sheetViews>
  <sheetFormatPr defaultRowHeight="14.5" x14ac:dyDescent="0.35"/>
  <cols>
    <col min="1" max="1" width="6.1796875" bestFit="1" customWidth="1"/>
    <col min="2" max="2" width="80.7265625" bestFit="1" customWidth="1"/>
    <col min="3" max="3" width="38.7265625" bestFit="1" customWidth="1"/>
    <col min="4" max="4" width="15.453125" bestFit="1" customWidth="1"/>
    <col min="5" max="5" width="14.7265625" bestFit="1" customWidth="1"/>
    <col min="6" max="6" width="10.453125" bestFit="1" customWidth="1"/>
    <col min="7" max="7" width="7.1796875" bestFit="1" customWidth="1"/>
    <col min="8" max="8" width="13.08984375" bestFit="1" customWidth="1"/>
    <col min="9" max="9" width="13.26953125" bestFit="1" customWidth="1"/>
    <col min="10" max="10" width="16" bestFit="1" customWidth="1"/>
    <col min="11" max="11" width="26.1796875" bestFit="1" customWidth="1"/>
    <col min="12" max="12" width="14.26953125" bestFit="1" customWidth="1"/>
    <col min="13" max="13" width="14.6328125" bestFit="1" customWidth="1"/>
  </cols>
  <sheetData>
    <row r="1" spans="1:13" x14ac:dyDescent="0.35">
      <c r="A1" t="s">
        <v>485</v>
      </c>
      <c r="B1" t="s">
        <v>1</v>
      </c>
      <c r="C1" t="s">
        <v>2</v>
      </c>
      <c r="D1" t="s">
        <v>486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496</v>
      </c>
      <c r="M1" t="s">
        <v>509</v>
      </c>
    </row>
    <row r="2" spans="1:13" x14ac:dyDescent="0.35">
      <c r="A2">
        <v>1</v>
      </c>
      <c r="B2" t="s">
        <v>12</v>
      </c>
      <c r="C2" t="s">
        <v>13</v>
      </c>
      <c r="D2">
        <v>4.8</v>
      </c>
      <c r="E2">
        <v>145747</v>
      </c>
      <c r="F2" t="s">
        <v>15</v>
      </c>
      <c r="G2">
        <v>18.88</v>
      </c>
      <c r="H2" t="s">
        <v>487</v>
      </c>
      <c r="I2">
        <v>320</v>
      </c>
      <c r="J2">
        <v>2018</v>
      </c>
      <c r="K2" t="s">
        <v>17</v>
      </c>
      <c r="L2" t="s">
        <v>502</v>
      </c>
      <c r="M2" t="s">
        <v>504</v>
      </c>
    </row>
    <row r="3" spans="1:13" x14ac:dyDescent="0.35">
      <c r="A3">
        <v>2</v>
      </c>
      <c r="B3" t="s">
        <v>19</v>
      </c>
      <c r="C3" t="s">
        <v>20</v>
      </c>
      <c r="D3">
        <v>4.7</v>
      </c>
      <c r="E3">
        <v>395512</v>
      </c>
      <c r="F3" t="s">
        <v>15</v>
      </c>
      <c r="G3">
        <v>11.05</v>
      </c>
      <c r="H3" t="s">
        <v>487</v>
      </c>
      <c r="I3">
        <v>640</v>
      </c>
      <c r="J3">
        <v>2023</v>
      </c>
      <c r="K3" t="s">
        <v>23</v>
      </c>
      <c r="L3" t="s">
        <v>497</v>
      </c>
      <c r="M3" t="s">
        <v>505</v>
      </c>
    </row>
    <row r="4" spans="1:13" x14ac:dyDescent="0.35">
      <c r="A4">
        <v>3</v>
      </c>
      <c r="B4" t="s">
        <v>25</v>
      </c>
      <c r="C4" t="s">
        <v>26</v>
      </c>
      <c r="D4">
        <v>4.5</v>
      </c>
      <c r="E4">
        <v>116101</v>
      </c>
      <c r="F4" t="s">
        <v>15</v>
      </c>
      <c r="G4">
        <v>11.99</v>
      </c>
      <c r="H4" t="s">
        <v>487</v>
      </c>
      <c r="I4">
        <v>416</v>
      </c>
      <c r="J4">
        <v>2023</v>
      </c>
      <c r="K4" t="s">
        <v>30</v>
      </c>
      <c r="L4" t="s">
        <v>502</v>
      </c>
      <c r="M4" t="s">
        <v>505</v>
      </c>
    </row>
    <row r="5" spans="1:13" x14ac:dyDescent="0.35">
      <c r="A5">
        <v>4</v>
      </c>
      <c r="B5" t="s">
        <v>32</v>
      </c>
      <c r="C5" t="s">
        <v>20</v>
      </c>
      <c r="D5">
        <v>4.8</v>
      </c>
      <c r="E5">
        <v>472618</v>
      </c>
      <c r="F5" t="s">
        <v>33</v>
      </c>
      <c r="G5">
        <v>13.62</v>
      </c>
      <c r="H5" t="s">
        <v>487</v>
      </c>
      <c r="I5">
        <v>544</v>
      </c>
      <c r="J5">
        <v>2024</v>
      </c>
      <c r="K5" t="s">
        <v>23</v>
      </c>
      <c r="L5" t="s">
        <v>497</v>
      </c>
      <c r="M5" t="s">
        <v>505</v>
      </c>
    </row>
    <row r="6" spans="1:13" x14ac:dyDescent="0.35">
      <c r="A6">
        <v>5</v>
      </c>
      <c r="B6" t="s">
        <v>36</v>
      </c>
      <c r="C6" t="s">
        <v>37</v>
      </c>
      <c r="D6">
        <v>4.4000000000000004</v>
      </c>
      <c r="E6">
        <v>51520</v>
      </c>
      <c r="F6" t="s">
        <v>15</v>
      </c>
      <c r="G6">
        <v>11.37</v>
      </c>
      <c r="H6" t="s">
        <v>487</v>
      </c>
      <c r="I6">
        <v>288</v>
      </c>
      <c r="J6">
        <v>2023</v>
      </c>
      <c r="K6" t="s">
        <v>30</v>
      </c>
      <c r="L6" t="s">
        <v>502</v>
      </c>
      <c r="M6" t="s">
        <v>505</v>
      </c>
    </row>
    <row r="7" spans="1:13" x14ac:dyDescent="0.35">
      <c r="A7">
        <v>6</v>
      </c>
      <c r="B7" t="s">
        <v>42</v>
      </c>
      <c r="C7" t="s">
        <v>43</v>
      </c>
      <c r="D7">
        <v>4.5999999999999996</v>
      </c>
      <c r="E7">
        <v>322650</v>
      </c>
      <c r="F7" t="s">
        <v>15</v>
      </c>
      <c r="G7">
        <v>13.94</v>
      </c>
      <c r="H7" t="s">
        <v>487</v>
      </c>
      <c r="I7">
        <v>400</v>
      </c>
      <c r="J7">
        <v>2022</v>
      </c>
      <c r="K7" t="s">
        <v>23</v>
      </c>
      <c r="L7" t="s">
        <v>502</v>
      </c>
      <c r="M7" t="s">
        <v>505</v>
      </c>
    </row>
    <row r="8" spans="1:13" x14ac:dyDescent="0.35">
      <c r="A8">
        <v>7</v>
      </c>
      <c r="B8" t="s">
        <v>48</v>
      </c>
      <c r="C8" t="s">
        <v>49</v>
      </c>
      <c r="D8">
        <v>4.7</v>
      </c>
      <c r="E8">
        <v>87375</v>
      </c>
      <c r="F8" t="s">
        <v>33</v>
      </c>
      <c r="G8">
        <v>13.99</v>
      </c>
      <c r="H8" t="s">
        <v>487</v>
      </c>
      <c r="I8">
        <v>452</v>
      </c>
      <c r="J8">
        <v>2000</v>
      </c>
      <c r="K8" t="s">
        <v>51</v>
      </c>
      <c r="L8" t="s">
        <v>502</v>
      </c>
      <c r="M8" t="s">
        <v>505</v>
      </c>
    </row>
    <row r="9" spans="1:13" x14ac:dyDescent="0.35">
      <c r="A9">
        <v>8</v>
      </c>
      <c r="B9" t="s">
        <v>53</v>
      </c>
      <c r="C9" t="s">
        <v>54</v>
      </c>
      <c r="D9">
        <v>4.8</v>
      </c>
      <c r="E9">
        <v>82564</v>
      </c>
      <c r="F9" t="s">
        <v>33</v>
      </c>
      <c r="G9">
        <v>14.39</v>
      </c>
      <c r="H9" t="s">
        <v>488</v>
      </c>
      <c r="I9">
        <v>464</v>
      </c>
      <c r="J9">
        <v>2015</v>
      </c>
      <c r="K9" t="s">
        <v>57</v>
      </c>
      <c r="L9" t="s">
        <v>502</v>
      </c>
      <c r="M9" t="s">
        <v>505</v>
      </c>
    </row>
    <row r="10" spans="1:13" x14ac:dyDescent="0.35">
      <c r="A10">
        <v>9</v>
      </c>
      <c r="B10" t="s">
        <v>59</v>
      </c>
      <c r="C10" t="s">
        <v>60</v>
      </c>
      <c r="D10">
        <v>4.5</v>
      </c>
      <c r="E10">
        <v>228242</v>
      </c>
      <c r="F10" t="s">
        <v>33</v>
      </c>
      <c r="G10">
        <v>1.88</v>
      </c>
      <c r="H10" t="s">
        <v>487</v>
      </c>
      <c r="I10">
        <v>336</v>
      </c>
      <c r="J10">
        <v>2022</v>
      </c>
      <c r="K10" t="s">
        <v>23</v>
      </c>
      <c r="L10" t="s">
        <v>502</v>
      </c>
      <c r="M10" t="s">
        <v>506</v>
      </c>
    </row>
    <row r="11" spans="1:13" x14ac:dyDescent="0.35">
      <c r="A11">
        <v>10</v>
      </c>
      <c r="B11" t="s">
        <v>63</v>
      </c>
      <c r="C11" t="s">
        <v>64</v>
      </c>
      <c r="D11">
        <v>4.5999999999999996</v>
      </c>
      <c r="E11">
        <v>19946</v>
      </c>
      <c r="F11" t="s">
        <v>15</v>
      </c>
      <c r="G11">
        <v>18</v>
      </c>
      <c r="H11" t="s">
        <v>487</v>
      </c>
      <c r="I11">
        <v>496</v>
      </c>
      <c r="J11">
        <v>2023</v>
      </c>
      <c r="K11" t="s">
        <v>57</v>
      </c>
      <c r="L11" t="s">
        <v>502</v>
      </c>
      <c r="M11" t="s">
        <v>504</v>
      </c>
    </row>
    <row r="12" spans="1:13" x14ac:dyDescent="0.35">
      <c r="A12">
        <v>11</v>
      </c>
      <c r="B12" t="s">
        <v>67</v>
      </c>
      <c r="C12" t="s">
        <v>60</v>
      </c>
      <c r="D12">
        <v>4.7</v>
      </c>
      <c r="E12">
        <v>405311</v>
      </c>
      <c r="F12" t="s">
        <v>33</v>
      </c>
      <c r="G12">
        <v>9.0299999999999994</v>
      </c>
      <c r="H12" t="s">
        <v>487</v>
      </c>
      <c r="I12">
        <v>384</v>
      </c>
      <c r="J12">
        <v>2016</v>
      </c>
      <c r="K12" t="s">
        <v>23</v>
      </c>
      <c r="L12" t="s">
        <v>502</v>
      </c>
      <c r="M12" t="s">
        <v>505</v>
      </c>
    </row>
    <row r="13" spans="1:13" x14ac:dyDescent="0.35">
      <c r="A13">
        <v>12</v>
      </c>
      <c r="B13" t="s">
        <v>70</v>
      </c>
      <c r="C13" t="s">
        <v>71</v>
      </c>
      <c r="D13">
        <v>4.5</v>
      </c>
      <c r="E13">
        <v>653111</v>
      </c>
      <c r="F13" t="s">
        <v>33</v>
      </c>
      <c r="G13">
        <v>9.69</v>
      </c>
      <c r="H13" t="s">
        <v>487</v>
      </c>
      <c r="I13">
        <v>336</v>
      </c>
      <c r="J13">
        <v>2022</v>
      </c>
      <c r="K13" t="s">
        <v>73</v>
      </c>
      <c r="L13" t="s">
        <v>502</v>
      </c>
      <c r="M13" t="s">
        <v>505</v>
      </c>
    </row>
    <row r="14" spans="1:13" x14ac:dyDescent="0.35">
      <c r="A14">
        <v>13</v>
      </c>
      <c r="B14" t="s">
        <v>75</v>
      </c>
      <c r="C14" t="s">
        <v>76</v>
      </c>
      <c r="D14">
        <v>4.9000000000000004</v>
      </c>
      <c r="E14">
        <v>78436</v>
      </c>
      <c r="F14" t="s">
        <v>78</v>
      </c>
      <c r="G14">
        <v>5.75</v>
      </c>
      <c r="H14" t="s">
        <v>80</v>
      </c>
      <c r="I14">
        <v>26</v>
      </c>
      <c r="J14">
        <v>1994</v>
      </c>
      <c r="K14" t="s">
        <v>81</v>
      </c>
      <c r="L14" t="s">
        <v>503</v>
      </c>
      <c r="M14" t="s">
        <v>506</v>
      </c>
    </row>
    <row r="15" spans="1:13" x14ac:dyDescent="0.35">
      <c r="A15">
        <v>14</v>
      </c>
      <c r="B15" t="s">
        <v>83</v>
      </c>
      <c r="C15" t="s">
        <v>84</v>
      </c>
      <c r="D15">
        <v>4.4000000000000004</v>
      </c>
      <c r="E15">
        <v>80996</v>
      </c>
      <c r="F15" t="s">
        <v>33</v>
      </c>
      <c r="G15">
        <v>9.99</v>
      </c>
      <c r="H15" t="s">
        <v>487</v>
      </c>
      <c r="I15">
        <v>416</v>
      </c>
      <c r="J15">
        <v>2018</v>
      </c>
      <c r="K15" t="s">
        <v>51</v>
      </c>
      <c r="L15" t="s">
        <v>502</v>
      </c>
      <c r="M15" t="s">
        <v>505</v>
      </c>
    </row>
    <row r="16" spans="1:13" x14ac:dyDescent="0.35">
      <c r="A16">
        <v>15</v>
      </c>
      <c r="B16" t="s">
        <v>88</v>
      </c>
      <c r="C16" t="s">
        <v>60</v>
      </c>
      <c r="D16">
        <v>4.5999999999999996</v>
      </c>
      <c r="E16">
        <v>443390</v>
      </c>
      <c r="F16" t="s">
        <v>33</v>
      </c>
      <c r="G16">
        <v>12.09</v>
      </c>
      <c r="H16" t="s">
        <v>487</v>
      </c>
      <c r="I16">
        <v>336</v>
      </c>
      <c r="J16">
        <v>2021</v>
      </c>
      <c r="K16" t="s">
        <v>23</v>
      </c>
      <c r="L16" t="s">
        <v>502</v>
      </c>
      <c r="M16" t="s">
        <v>505</v>
      </c>
    </row>
    <row r="17" spans="1:13" x14ac:dyDescent="0.35">
      <c r="A17">
        <v>16</v>
      </c>
      <c r="B17" t="s">
        <v>91</v>
      </c>
      <c r="C17" t="s">
        <v>92</v>
      </c>
      <c r="D17">
        <v>4.5999999999999996</v>
      </c>
      <c r="E17">
        <v>270507</v>
      </c>
      <c r="F17" t="s">
        <v>33</v>
      </c>
      <c r="G17">
        <v>6.91</v>
      </c>
      <c r="H17" t="s">
        <v>487</v>
      </c>
      <c r="I17">
        <v>400</v>
      </c>
      <c r="J17">
        <v>2018</v>
      </c>
      <c r="K17" t="s">
        <v>23</v>
      </c>
      <c r="L17" t="s">
        <v>502</v>
      </c>
      <c r="M17" t="s">
        <v>506</v>
      </c>
    </row>
    <row r="18" spans="1:13" x14ac:dyDescent="0.35">
      <c r="A18">
        <v>17</v>
      </c>
      <c r="B18" t="s">
        <v>95</v>
      </c>
      <c r="C18" t="s">
        <v>96</v>
      </c>
      <c r="D18">
        <v>4.7</v>
      </c>
      <c r="E18">
        <v>10805</v>
      </c>
      <c r="F18" t="s">
        <v>15</v>
      </c>
      <c r="G18">
        <v>16.989999999999998</v>
      </c>
      <c r="H18" t="s">
        <v>487</v>
      </c>
      <c r="I18">
        <v>432</v>
      </c>
      <c r="J18">
        <v>2023</v>
      </c>
      <c r="K18" t="s">
        <v>57</v>
      </c>
      <c r="L18" t="s">
        <v>502</v>
      </c>
      <c r="M18" t="s">
        <v>504</v>
      </c>
    </row>
    <row r="19" spans="1:13" x14ac:dyDescent="0.35">
      <c r="A19">
        <v>18</v>
      </c>
      <c r="B19" t="s">
        <v>99</v>
      </c>
      <c r="C19" t="s">
        <v>100</v>
      </c>
      <c r="D19">
        <v>4.9000000000000004</v>
      </c>
      <c r="E19">
        <v>9344</v>
      </c>
      <c r="F19" t="s">
        <v>15</v>
      </c>
      <c r="G19">
        <v>4.3499999999999996</v>
      </c>
      <c r="H19" t="s">
        <v>489</v>
      </c>
      <c r="I19">
        <v>24</v>
      </c>
      <c r="J19">
        <v>2023</v>
      </c>
      <c r="K19" t="s">
        <v>103</v>
      </c>
      <c r="L19" t="s">
        <v>503</v>
      </c>
      <c r="M19" t="s">
        <v>506</v>
      </c>
    </row>
    <row r="20" spans="1:13" x14ac:dyDescent="0.35">
      <c r="A20">
        <v>19</v>
      </c>
      <c r="B20" t="s">
        <v>105</v>
      </c>
      <c r="C20" t="s">
        <v>106</v>
      </c>
      <c r="D20">
        <v>4.7</v>
      </c>
      <c r="E20">
        <v>119661</v>
      </c>
      <c r="F20" t="s">
        <v>33</v>
      </c>
      <c r="G20">
        <v>7.05</v>
      </c>
      <c r="H20" t="s">
        <v>487</v>
      </c>
      <c r="I20">
        <v>160</v>
      </c>
      <c r="J20">
        <v>1997</v>
      </c>
      <c r="K20" t="s">
        <v>17</v>
      </c>
      <c r="L20" t="s">
        <v>502</v>
      </c>
      <c r="M20" t="s">
        <v>505</v>
      </c>
    </row>
    <row r="21" spans="1:13" x14ac:dyDescent="0.35">
      <c r="A21">
        <v>20</v>
      </c>
      <c r="B21" t="s">
        <v>109</v>
      </c>
      <c r="C21" t="s">
        <v>110</v>
      </c>
      <c r="D21">
        <v>4.5999999999999996</v>
      </c>
      <c r="E21">
        <v>146667</v>
      </c>
      <c r="F21" t="s">
        <v>15</v>
      </c>
      <c r="G21">
        <v>17.100000000000001</v>
      </c>
      <c r="H21" t="s">
        <v>487</v>
      </c>
      <c r="I21">
        <v>560</v>
      </c>
      <c r="J21">
        <v>2022</v>
      </c>
      <c r="K21" t="s">
        <v>23</v>
      </c>
      <c r="L21" t="s">
        <v>497</v>
      </c>
      <c r="M21" t="s">
        <v>504</v>
      </c>
    </row>
    <row r="22" spans="1:13" x14ac:dyDescent="0.35">
      <c r="A22">
        <v>21</v>
      </c>
      <c r="B22" t="s">
        <v>114</v>
      </c>
      <c r="C22" t="s">
        <v>115</v>
      </c>
      <c r="D22">
        <v>4.5999999999999996</v>
      </c>
      <c r="E22">
        <v>314472</v>
      </c>
      <c r="F22" t="s">
        <v>33</v>
      </c>
      <c r="G22">
        <v>12.8</v>
      </c>
      <c r="H22" t="s">
        <v>487</v>
      </c>
      <c r="I22">
        <v>448</v>
      </c>
      <c r="J22">
        <v>2020</v>
      </c>
      <c r="K22" t="s">
        <v>23</v>
      </c>
      <c r="L22" t="s">
        <v>502</v>
      </c>
      <c r="M22" t="s">
        <v>505</v>
      </c>
    </row>
    <row r="23" spans="1:13" x14ac:dyDescent="0.35">
      <c r="A23">
        <v>22</v>
      </c>
      <c r="B23" t="s">
        <v>118</v>
      </c>
      <c r="C23" t="s">
        <v>119</v>
      </c>
      <c r="D23">
        <v>4.5999999999999996</v>
      </c>
      <c r="E23">
        <v>15400</v>
      </c>
      <c r="F23" t="s">
        <v>33</v>
      </c>
      <c r="G23">
        <v>10.41</v>
      </c>
      <c r="H23" t="s">
        <v>487</v>
      </c>
      <c r="I23">
        <v>196</v>
      </c>
      <c r="J23">
        <v>2022</v>
      </c>
      <c r="K23" t="s">
        <v>121</v>
      </c>
      <c r="L23" t="s">
        <v>502</v>
      </c>
      <c r="M23" t="s">
        <v>505</v>
      </c>
    </row>
    <row r="24" spans="1:13" x14ac:dyDescent="0.35">
      <c r="A24">
        <v>23</v>
      </c>
      <c r="B24" t="s">
        <v>123</v>
      </c>
      <c r="C24" t="s">
        <v>124</v>
      </c>
      <c r="D24">
        <v>4.7</v>
      </c>
      <c r="E24">
        <v>13081</v>
      </c>
      <c r="F24" t="s">
        <v>15</v>
      </c>
      <c r="G24">
        <v>2.0299999999999998</v>
      </c>
      <c r="H24" t="s">
        <v>490</v>
      </c>
      <c r="I24">
        <v>224</v>
      </c>
      <c r="J24">
        <v>2023</v>
      </c>
      <c r="K24" t="s">
        <v>81</v>
      </c>
      <c r="L24" t="s">
        <v>502</v>
      </c>
      <c r="M24" t="s">
        <v>506</v>
      </c>
    </row>
    <row r="25" spans="1:13" x14ac:dyDescent="0.35">
      <c r="A25">
        <v>24</v>
      </c>
      <c r="B25" t="s">
        <v>128</v>
      </c>
      <c r="C25" t="s">
        <v>129</v>
      </c>
      <c r="D25">
        <v>4.9000000000000004</v>
      </c>
      <c r="E25">
        <v>80263</v>
      </c>
      <c r="F25" t="s">
        <v>78</v>
      </c>
      <c r="G25">
        <v>3.97</v>
      </c>
      <c r="H25" t="s">
        <v>510</v>
      </c>
      <c r="I25">
        <v>28</v>
      </c>
      <c r="J25">
        <v>2015</v>
      </c>
      <c r="K25" t="s">
        <v>81</v>
      </c>
      <c r="L25" t="s">
        <v>503</v>
      </c>
      <c r="M25" t="s">
        <v>506</v>
      </c>
    </row>
    <row r="26" spans="1:13" x14ac:dyDescent="0.35">
      <c r="A26">
        <v>25</v>
      </c>
      <c r="B26" t="s">
        <v>133</v>
      </c>
      <c r="C26" t="s">
        <v>134</v>
      </c>
      <c r="D26">
        <v>4.8</v>
      </c>
      <c r="E26">
        <v>11089</v>
      </c>
      <c r="F26" t="s">
        <v>15</v>
      </c>
      <c r="G26">
        <v>5.48</v>
      </c>
      <c r="H26" t="s">
        <v>491</v>
      </c>
      <c r="I26">
        <v>240</v>
      </c>
      <c r="J26">
        <v>2023</v>
      </c>
      <c r="K26" t="s">
        <v>138</v>
      </c>
      <c r="L26" t="s">
        <v>502</v>
      </c>
      <c r="M26" t="s">
        <v>506</v>
      </c>
    </row>
    <row r="27" spans="1:13" x14ac:dyDescent="0.35">
      <c r="A27">
        <v>26</v>
      </c>
      <c r="B27" t="s">
        <v>140</v>
      </c>
      <c r="C27" t="s">
        <v>141</v>
      </c>
      <c r="D27">
        <v>4.5</v>
      </c>
      <c r="E27">
        <v>232211</v>
      </c>
      <c r="F27" t="s">
        <v>33</v>
      </c>
      <c r="G27">
        <v>9.77</v>
      </c>
      <c r="H27" t="s">
        <v>487</v>
      </c>
      <c r="I27">
        <v>570</v>
      </c>
      <c r="J27">
        <v>2022</v>
      </c>
      <c r="K27" t="s">
        <v>23</v>
      </c>
      <c r="L27" t="s">
        <v>497</v>
      </c>
      <c r="M27" t="s">
        <v>505</v>
      </c>
    </row>
    <row r="28" spans="1:13" x14ac:dyDescent="0.35">
      <c r="A28">
        <v>27</v>
      </c>
      <c r="B28" t="s">
        <v>145</v>
      </c>
      <c r="C28" t="s">
        <v>146</v>
      </c>
      <c r="D28">
        <v>4.5999999999999996</v>
      </c>
      <c r="E28">
        <v>94536</v>
      </c>
      <c r="F28" t="s">
        <v>15</v>
      </c>
      <c r="G28">
        <v>17.96</v>
      </c>
      <c r="H28" t="s">
        <v>487</v>
      </c>
      <c r="I28">
        <v>736</v>
      </c>
      <c r="J28">
        <v>2023</v>
      </c>
      <c r="K28" t="s">
        <v>23</v>
      </c>
      <c r="L28" t="s">
        <v>497</v>
      </c>
      <c r="M28" t="s">
        <v>504</v>
      </c>
    </row>
    <row r="29" spans="1:13" x14ac:dyDescent="0.35">
      <c r="A29">
        <v>28</v>
      </c>
      <c r="B29" t="s">
        <v>150</v>
      </c>
      <c r="C29" t="s">
        <v>151</v>
      </c>
      <c r="D29">
        <v>4.9000000000000004</v>
      </c>
      <c r="E29">
        <v>55794</v>
      </c>
      <c r="F29" t="s">
        <v>78</v>
      </c>
      <c r="G29">
        <v>4.82</v>
      </c>
      <c r="H29" t="s">
        <v>80</v>
      </c>
      <c r="I29">
        <v>24</v>
      </c>
      <c r="J29">
        <v>1996</v>
      </c>
      <c r="K29" t="s">
        <v>81</v>
      </c>
      <c r="L29" t="s">
        <v>503</v>
      </c>
      <c r="M29" t="s">
        <v>506</v>
      </c>
    </row>
    <row r="30" spans="1:13" x14ac:dyDescent="0.35">
      <c r="A30">
        <v>29</v>
      </c>
      <c r="B30" t="s">
        <v>154</v>
      </c>
      <c r="C30" t="s">
        <v>155</v>
      </c>
      <c r="D30">
        <v>4.9000000000000004</v>
      </c>
      <c r="E30">
        <v>13217</v>
      </c>
      <c r="F30" t="s">
        <v>15</v>
      </c>
      <c r="G30">
        <v>16.78</v>
      </c>
      <c r="H30" t="s">
        <v>487</v>
      </c>
      <c r="I30">
        <v>256</v>
      </c>
      <c r="J30">
        <v>2023</v>
      </c>
      <c r="K30" t="s">
        <v>158</v>
      </c>
      <c r="L30" t="s">
        <v>502</v>
      </c>
      <c r="M30" t="s">
        <v>504</v>
      </c>
    </row>
    <row r="31" spans="1:13" x14ac:dyDescent="0.35">
      <c r="A31">
        <v>30</v>
      </c>
      <c r="B31" t="s">
        <v>160</v>
      </c>
      <c r="C31" t="s">
        <v>161</v>
      </c>
      <c r="D31">
        <v>4.9000000000000004</v>
      </c>
      <c r="E31">
        <v>14622</v>
      </c>
      <c r="F31" t="s">
        <v>78</v>
      </c>
      <c r="G31">
        <v>5.37</v>
      </c>
      <c r="H31" t="s">
        <v>510</v>
      </c>
      <c r="I31">
        <v>24</v>
      </c>
      <c r="J31">
        <v>2020</v>
      </c>
      <c r="K31" t="s">
        <v>81</v>
      </c>
      <c r="L31" t="s">
        <v>503</v>
      </c>
      <c r="M31" t="s">
        <v>506</v>
      </c>
    </row>
    <row r="32" spans="1:13" x14ac:dyDescent="0.35">
      <c r="A32">
        <v>31</v>
      </c>
      <c r="B32" t="s">
        <v>164</v>
      </c>
      <c r="C32" t="s">
        <v>165</v>
      </c>
      <c r="D32">
        <v>4.5</v>
      </c>
      <c r="E32">
        <v>60311</v>
      </c>
      <c r="F32" t="s">
        <v>15</v>
      </c>
      <c r="G32">
        <v>10.83</v>
      </c>
      <c r="H32" t="s">
        <v>487</v>
      </c>
      <c r="I32">
        <v>272</v>
      </c>
      <c r="J32">
        <v>2022</v>
      </c>
      <c r="K32" t="s">
        <v>168</v>
      </c>
      <c r="L32" t="s">
        <v>502</v>
      </c>
      <c r="M32" t="s">
        <v>505</v>
      </c>
    </row>
    <row r="33" spans="1:13" x14ac:dyDescent="0.35">
      <c r="A33">
        <v>32</v>
      </c>
      <c r="B33" t="s">
        <v>170</v>
      </c>
      <c r="C33" t="s">
        <v>171</v>
      </c>
      <c r="D33">
        <v>4.7</v>
      </c>
      <c r="E33">
        <v>106198</v>
      </c>
      <c r="F33" t="s">
        <v>33</v>
      </c>
      <c r="G33">
        <v>7.34</v>
      </c>
      <c r="H33" t="s">
        <v>487</v>
      </c>
      <c r="I33">
        <v>336</v>
      </c>
      <c r="J33">
        <v>2022</v>
      </c>
      <c r="K33" t="s">
        <v>173</v>
      </c>
      <c r="L33" t="s">
        <v>502</v>
      </c>
      <c r="M33" t="s">
        <v>505</v>
      </c>
    </row>
    <row r="34" spans="1:13" x14ac:dyDescent="0.35">
      <c r="A34">
        <v>33</v>
      </c>
      <c r="B34" t="s">
        <v>175</v>
      </c>
      <c r="C34" t="s">
        <v>84</v>
      </c>
      <c r="D34">
        <v>4.4000000000000004</v>
      </c>
      <c r="E34">
        <v>39574</v>
      </c>
      <c r="F34" t="s">
        <v>15</v>
      </c>
      <c r="G34">
        <v>14.47</v>
      </c>
      <c r="H34" t="s">
        <v>492</v>
      </c>
      <c r="I34">
        <v>352</v>
      </c>
      <c r="J34">
        <v>2023</v>
      </c>
      <c r="K34" t="s">
        <v>30</v>
      </c>
      <c r="L34" t="s">
        <v>502</v>
      </c>
      <c r="M34" t="s">
        <v>505</v>
      </c>
    </row>
    <row r="35" spans="1:13" x14ac:dyDescent="0.35">
      <c r="A35">
        <v>34</v>
      </c>
      <c r="B35" t="s">
        <v>180</v>
      </c>
      <c r="C35" t="s">
        <v>181</v>
      </c>
      <c r="D35">
        <v>4.9000000000000004</v>
      </c>
      <c r="E35">
        <v>53602</v>
      </c>
      <c r="F35" t="s">
        <v>15</v>
      </c>
      <c r="G35">
        <v>8.64</v>
      </c>
      <c r="H35" t="s">
        <v>183</v>
      </c>
      <c r="I35">
        <v>56</v>
      </c>
      <c r="J35">
        <v>1990</v>
      </c>
      <c r="K35" t="s">
        <v>81</v>
      </c>
      <c r="L35" t="s">
        <v>499</v>
      </c>
      <c r="M35" t="s">
        <v>505</v>
      </c>
    </row>
    <row r="36" spans="1:13" x14ac:dyDescent="0.35">
      <c r="A36">
        <v>35</v>
      </c>
      <c r="B36" t="s">
        <v>185</v>
      </c>
      <c r="C36" t="s">
        <v>186</v>
      </c>
      <c r="D36">
        <v>4.5999999999999996</v>
      </c>
      <c r="E36">
        <v>88321</v>
      </c>
      <c r="F36" t="s">
        <v>78</v>
      </c>
      <c r="G36">
        <v>14.99</v>
      </c>
      <c r="H36" t="s">
        <v>80</v>
      </c>
      <c r="I36">
        <v>220</v>
      </c>
      <c r="J36">
        <v>2018</v>
      </c>
      <c r="K36" t="s">
        <v>81</v>
      </c>
      <c r="L36" t="s">
        <v>502</v>
      </c>
      <c r="M36" t="s">
        <v>505</v>
      </c>
    </row>
    <row r="37" spans="1:13" x14ac:dyDescent="0.35">
      <c r="A37">
        <v>36</v>
      </c>
      <c r="B37" t="s">
        <v>189</v>
      </c>
      <c r="C37" t="s">
        <v>190</v>
      </c>
      <c r="D37">
        <v>4.2</v>
      </c>
      <c r="E37">
        <v>60754</v>
      </c>
      <c r="F37" t="s">
        <v>33</v>
      </c>
      <c r="G37">
        <v>6.88</v>
      </c>
      <c r="H37" t="s">
        <v>487</v>
      </c>
      <c r="I37">
        <v>400</v>
      </c>
      <c r="J37">
        <v>2019</v>
      </c>
      <c r="K37" t="s">
        <v>23</v>
      </c>
      <c r="L37" t="s">
        <v>502</v>
      </c>
      <c r="M37" t="s">
        <v>506</v>
      </c>
    </row>
    <row r="38" spans="1:13" x14ac:dyDescent="0.35">
      <c r="A38">
        <v>37</v>
      </c>
      <c r="B38" t="s">
        <v>194</v>
      </c>
      <c r="C38" t="s">
        <v>195</v>
      </c>
      <c r="D38">
        <v>4.9000000000000004</v>
      </c>
      <c r="E38">
        <v>31124</v>
      </c>
      <c r="F38" t="s">
        <v>78</v>
      </c>
      <c r="G38">
        <v>1.89</v>
      </c>
      <c r="H38" t="s">
        <v>510</v>
      </c>
      <c r="I38">
        <v>34</v>
      </c>
      <c r="J38">
        <v>1991</v>
      </c>
      <c r="K38" t="s">
        <v>103</v>
      </c>
      <c r="L38" t="s">
        <v>503</v>
      </c>
      <c r="M38" t="s">
        <v>506</v>
      </c>
    </row>
    <row r="39" spans="1:13" x14ac:dyDescent="0.35">
      <c r="A39">
        <v>38</v>
      </c>
      <c r="B39" t="s">
        <v>199</v>
      </c>
      <c r="C39" t="s">
        <v>200</v>
      </c>
      <c r="D39">
        <v>4.4000000000000004</v>
      </c>
      <c r="E39">
        <v>129310</v>
      </c>
      <c r="F39" t="s">
        <v>15</v>
      </c>
      <c r="G39">
        <v>13.28</v>
      </c>
      <c r="H39" t="s">
        <v>487</v>
      </c>
      <c r="I39">
        <v>416</v>
      </c>
      <c r="J39">
        <v>2022</v>
      </c>
      <c r="K39" t="s">
        <v>23</v>
      </c>
      <c r="L39" t="s">
        <v>502</v>
      </c>
      <c r="M39" t="s">
        <v>505</v>
      </c>
    </row>
    <row r="40" spans="1:13" x14ac:dyDescent="0.35">
      <c r="A40">
        <v>39</v>
      </c>
      <c r="B40" t="s">
        <v>204</v>
      </c>
      <c r="C40" t="s">
        <v>205</v>
      </c>
      <c r="D40">
        <v>4.8</v>
      </c>
      <c r="E40">
        <v>26464</v>
      </c>
      <c r="F40" t="s">
        <v>15</v>
      </c>
      <c r="G40">
        <v>11.99</v>
      </c>
      <c r="H40" t="s">
        <v>80</v>
      </c>
      <c r="I40">
        <v>24</v>
      </c>
      <c r="J40">
        <v>2013</v>
      </c>
      <c r="K40" t="s">
        <v>81</v>
      </c>
      <c r="L40" t="s">
        <v>503</v>
      </c>
      <c r="M40" t="s">
        <v>505</v>
      </c>
    </row>
    <row r="41" spans="1:13" x14ac:dyDescent="0.35">
      <c r="A41">
        <v>40</v>
      </c>
      <c r="B41" t="s">
        <v>207</v>
      </c>
      <c r="C41" t="s">
        <v>208</v>
      </c>
      <c r="D41">
        <v>4.9000000000000004</v>
      </c>
      <c r="E41">
        <v>32274</v>
      </c>
      <c r="F41" t="s">
        <v>15</v>
      </c>
      <c r="G41">
        <v>9.4499999999999993</v>
      </c>
      <c r="H41" t="s">
        <v>493</v>
      </c>
      <c r="I41">
        <v>36</v>
      </c>
      <c r="J41">
        <v>2015</v>
      </c>
      <c r="K41" t="s">
        <v>81</v>
      </c>
      <c r="L41" t="s">
        <v>503</v>
      </c>
      <c r="M41" t="s">
        <v>505</v>
      </c>
    </row>
    <row r="42" spans="1:13" x14ac:dyDescent="0.35">
      <c r="A42">
        <v>41</v>
      </c>
      <c r="B42" t="s">
        <v>212</v>
      </c>
      <c r="C42" t="s">
        <v>20</v>
      </c>
      <c r="D42">
        <v>4.5999999999999996</v>
      </c>
      <c r="E42">
        <v>5028</v>
      </c>
      <c r="F42" t="s">
        <v>15</v>
      </c>
      <c r="G42">
        <v>26.91</v>
      </c>
      <c r="H42" t="s">
        <v>487</v>
      </c>
      <c r="I42">
        <v>528</v>
      </c>
      <c r="J42">
        <v>2023</v>
      </c>
      <c r="K42" t="s">
        <v>23</v>
      </c>
      <c r="L42" t="s">
        <v>497</v>
      </c>
      <c r="M42" t="s">
        <v>507</v>
      </c>
    </row>
    <row r="43" spans="1:13" x14ac:dyDescent="0.35">
      <c r="A43">
        <v>42</v>
      </c>
      <c r="B43" t="s">
        <v>216</v>
      </c>
      <c r="C43" t="s">
        <v>217</v>
      </c>
      <c r="D43">
        <v>4.4000000000000004</v>
      </c>
      <c r="E43">
        <v>398561</v>
      </c>
      <c r="F43" t="s">
        <v>33</v>
      </c>
      <c r="G43">
        <v>2.39</v>
      </c>
      <c r="H43" t="s">
        <v>487</v>
      </c>
      <c r="I43">
        <v>368</v>
      </c>
      <c r="J43">
        <v>2021</v>
      </c>
      <c r="K43" t="s">
        <v>73</v>
      </c>
      <c r="L43" t="s">
        <v>502</v>
      </c>
      <c r="M43" t="s">
        <v>506</v>
      </c>
    </row>
    <row r="44" spans="1:13" x14ac:dyDescent="0.35">
      <c r="A44">
        <v>43</v>
      </c>
      <c r="B44" t="s">
        <v>220</v>
      </c>
      <c r="C44" t="s">
        <v>221</v>
      </c>
      <c r="D44">
        <v>4.5999999999999996</v>
      </c>
      <c r="E44">
        <v>129211</v>
      </c>
      <c r="F44" t="s">
        <v>78</v>
      </c>
      <c r="G44">
        <v>14.53</v>
      </c>
      <c r="H44" t="s">
        <v>487</v>
      </c>
      <c r="I44">
        <v>368</v>
      </c>
      <c r="J44">
        <v>2022</v>
      </c>
      <c r="K44" t="s">
        <v>73</v>
      </c>
      <c r="L44" t="s">
        <v>502</v>
      </c>
      <c r="M44" t="s">
        <v>505</v>
      </c>
    </row>
    <row r="45" spans="1:13" x14ac:dyDescent="0.35">
      <c r="A45">
        <v>44</v>
      </c>
      <c r="B45" t="s">
        <v>224</v>
      </c>
      <c r="C45" t="s">
        <v>225</v>
      </c>
      <c r="D45">
        <v>4.7</v>
      </c>
      <c r="E45">
        <v>68563</v>
      </c>
      <c r="F45" t="s">
        <v>33</v>
      </c>
      <c r="G45">
        <v>14.18</v>
      </c>
      <c r="H45" t="s">
        <v>487</v>
      </c>
      <c r="I45">
        <v>256</v>
      </c>
      <c r="J45">
        <v>2020</v>
      </c>
      <c r="K45" t="s">
        <v>173</v>
      </c>
      <c r="L45" t="s">
        <v>502</v>
      </c>
      <c r="M45" t="s">
        <v>505</v>
      </c>
    </row>
    <row r="46" spans="1:13" x14ac:dyDescent="0.35">
      <c r="A46">
        <v>45</v>
      </c>
      <c r="B46" t="s">
        <v>228</v>
      </c>
      <c r="C46" t="s">
        <v>229</v>
      </c>
      <c r="D46">
        <v>4.7</v>
      </c>
      <c r="E46">
        <v>6331</v>
      </c>
      <c r="F46" t="s">
        <v>33</v>
      </c>
      <c r="G46">
        <v>23.66</v>
      </c>
      <c r="H46" t="s">
        <v>487</v>
      </c>
      <c r="I46">
        <v>138</v>
      </c>
      <c r="J46">
        <v>2021</v>
      </c>
      <c r="K46" t="s">
        <v>57</v>
      </c>
      <c r="L46" t="s">
        <v>499</v>
      </c>
      <c r="M46" t="s">
        <v>507</v>
      </c>
    </row>
    <row r="47" spans="1:13" x14ac:dyDescent="0.35">
      <c r="A47">
        <v>46</v>
      </c>
      <c r="B47" t="s">
        <v>233</v>
      </c>
      <c r="C47" t="s">
        <v>234</v>
      </c>
      <c r="D47">
        <v>4.8</v>
      </c>
      <c r="E47">
        <v>17084</v>
      </c>
      <c r="F47" t="s">
        <v>15</v>
      </c>
      <c r="G47">
        <v>14.78</v>
      </c>
      <c r="H47" t="s">
        <v>487</v>
      </c>
      <c r="I47">
        <v>384</v>
      </c>
      <c r="J47">
        <v>2023</v>
      </c>
      <c r="K47" t="s">
        <v>30</v>
      </c>
      <c r="L47" t="s">
        <v>502</v>
      </c>
      <c r="M47" t="s">
        <v>505</v>
      </c>
    </row>
    <row r="48" spans="1:13" x14ac:dyDescent="0.35">
      <c r="A48">
        <v>47</v>
      </c>
      <c r="B48" t="s">
        <v>238</v>
      </c>
      <c r="C48" t="s">
        <v>239</v>
      </c>
      <c r="D48">
        <v>4.8</v>
      </c>
      <c r="E48">
        <v>9137</v>
      </c>
      <c r="F48" t="s">
        <v>33</v>
      </c>
      <c r="G48">
        <v>2.7</v>
      </c>
      <c r="H48" t="s">
        <v>494</v>
      </c>
      <c r="I48">
        <v>32</v>
      </c>
      <c r="J48">
        <v>2022</v>
      </c>
      <c r="K48" t="s">
        <v>103</v>
      </c>
      <c r="L48" t="s">
        <v>503</v>
      </c>
      <c r="M48" t="s">
        <v>506</v>
      </c>
    </row>
    <row r="49" spans="1:13" x14ac:dyDescent="0.35">
      <c r="A49">
        <v>48</v>
      </c>
      <c r="B49" t="s">
        <v>244</v>
      </c>
      <c r="C49" t="s">
        <v>245</v>
      </c>
      <c r="D49">
        <v>4.2</v>
      </c>
      <c r="E49">
        <v>142671</v>
      </c>
      <c r="F49" t="s">
        <v>33</v>
      </c>
      <c r="G49">
        <v>9.99</v>
      </c>
      <c r="H49" t="s">
        <v>487</v>
      </c>
      <c r="I49">
        <v>352</v>
      </c>
      <c r="J49">
        <v>2022</v>
      </c>
      <c r="K49" t="s">
        <v>23</v>
      </c>
      <c r="L49" t="s">
        <v>502</v>
      </c>
      <c r="M49" t="s">
        <v>505</v>
      </c>
    </row>
    <row r="50" spans="1:13" x14ac:dyDescent="0.35">
      <c r="A50">
        <v>49</v>
      </c>
      <c r="B50" t="s">
        <v>248</v>
      </c>
      <c r="C50" t="s">
        <v>249</v>
      </c>
      <c r="D50">
        <v>4.3</v>
      </c>
      <c r="E50">
        <v>113454</v>
      </c>
      <c r="F50" t="s">
        <v>33</v>
      </c>
      <c r="G50">
        <v>9.4</v>
      </c>
      <c r="H50" t="s">
        <v>487</v>
      </c>
      <c r="I50">
        <v>448</v>
      </c>
      <c r="J50">
        <v>2023</v>
      </c>
      <c r="K50" t="s">
        <v>23</v>
      </c>
      <c r="L50" t="s">
        <v>502</v>
      </c>
      <c r="M50" t="s">
        <v>505</v>
      </c>
    </row>
    <row r="51" spans="1:13" x14ac:dyDescent="0.35">
      <c r="A51">
        <v>50</v>
      </c>
      <c r="B51" t="s">
        <v>254</v>
      </c>
      <c r="C51" t="s">
        <v>141</v>
      </c>
      <c r="D51">
        <v>4.4000000000000004</v>
      </c>
      <c r="E51">
        <v>119095</v>
      </c>
      <c r="F51" t="s">
        <v>33</v>
      </c>
      <c r="G51">
        <v>9.9499999999999993</v>
      </c>
      <c r="H51" t="s">
        <v>487</v>
      </c>
      <c r="I51">
        <v>592</v>
      </c>
      <c r="J51">
        <v>2023</v>
      </c>
      <c r="K51" t="s">
        <v>23</v>
      </c>
      <c r="L51" t="s">
        <v>497</v>
      </c>
      <c r="M51" t="s">
        <v>505</v>
      </c>
    </row>
    <row r="52" spans="1:13" x14ac:dyDescent="0.35">
      <c r="A52">
        <v>51</v>
      </c>
      <c r="B52" t="s">
        <v>258</v>
      </c>
      <c r="C52" t="s">
        <v>60</v>
      </c>
      <c r="D52">
        <v>4.7</v>
      </c>
      <c r="E52">
        <v>347742</v>
      </c>
      <c r="F52" t="s">
        <v>33</v>
      </c>
      <c r="G52">
        <v>9.0299999999999994</v>
      </c>
      <c r="H52" t="s">
        <v>487</v>
      </c>
      <c r="I52">
        <v>335</v>
      </c>
      <c r="J52">
        <v>2022</v>
      </c>
      <c r="K52" t="s">
        <v>23</v>
      </c>
      <c r="L52" t="s">
        <v>502</v>
      </c>
      <c r="M52" t="s">
        <v>505</v>
      </c>
    </row>
    <row r="53" spans="1:13" x14ac:dyDescent="0.35">
      <c r="A53">
        <v>52</v>
      </c>
      <c r="B53" t="s">
        <v>261</v>
      </c>
      <c r="C53" t="s">
        <v>115</v>
      </c>
      <c r="D53">
        <v>4.8</v>
      </c>
      <c r="E53">
        <v>287325</v>
      </c>
      <c r="F53" t="s">
        <v>33</v>
      </c>
      <c r="G53">
        <v>12.16</v>
      </c>
      <c r="H53" t="s">
        <v>487</v>
      </c>
      <c r="I53">
        <v>656</v>
      </c>
      <c r="J53">
        <v>2020</v>
      </c>
      <c r="K53" t="s">
        <v>23</v>
      </c>
      <c r="L53" t="s">
        <v>497</v>
      </c>
      <c r="M53" t="s">
        <v>505</v>
      </c>
    </row>
    <row r="54" spans="1:13" x14ac:dyDescent="0.35">
      <c r="A54">
        <v>53</v>
      </c>
      <c r="B54" t="s">
        <v>264</v>
      </c>
      <c r="C54" t="s">
        <v>265</v>
      </c>
      <c r="D54">
        <v>4.8</v>
      </c>
      <c r="E54">
        <v>7876</v>
      </c>
      <c r="F54" t="s">
        <v>15</v>
      </c>
      <c r="G54">
        <v>20.190000000000001</v>
      </c>
      <c r="H54" t="s">
        <v>487</v>
      </c>
      <c r="I54">
        <v>496</v>
      </c>
      <c r="J54">
        <v>2023</v>
      </c>
      <c r="K54" t="s">
        <v>268</v>
      </c>
      <c r="L54" t="s">
        <v>502</v>
      </c>
      <c r="M54" t="s">
        <v>504</v>
      </c>
    </row>
    <row r="55" spans="1:13" x14ac:dyDescent="0.35">
      <c r="A55">
        <v>54</v>
      </c>
      <c r="B55" t="s">
        <v>270</v>
      </c>
      <c r="C55" t="s">
        <v>271</v>
      </c>
      <c r="D55">
        <v>4.7</v>
      </c>
      <c r="E55">
        <v>22689</v>
      </c>
      <c r="F55" t="s">
        <v>15</v>
      </c>
      <c r="G55">
        <v>19.93</v>
      </c>
      <c r="H55" t="s">
        <v>487</v>
      </c>
      <c r="I55">
        <v>688</v>
      </c>
      <c r="J55">
        <v>2023</v>
      </c>
      <c r="K55" t="s">
        <v>30</v>
      </c>
      <c r="L55" t="s">
        <v>497</v>
      </c>
      <c r="M55" t="s">
        <v>504</v>
      </c>
    </row>
    <row r="56" spans="1:13" x14ac:dyDescent="0.35">
      <c r="A56">
        <v>55</v>
      </c>
      <c r="B56" t="s">
        <v>275</v>
      </c>
      <c r="C56" t="s">
        <v>276</v>
      </c>
      <c r="D56">
        <v>4.5999999999999996</v>
      </c>
      <c r="E56">
        <v>23034</v>
      </c>
      <c r="F56" t="s">
        <v>33</v>
      </c>
      <c r="G56">
        <v>10.17</v>
      </c>
      <c r="H56" t="s">
        <v>487</v>
      </c>
      <c r="I56">
        <v>352</v>
      </c>
      <c r="J56">
        <v>2019</v>
      </c>
      <c r="K56" t="s">
        <v>173</v>
      </c>
      <c r="L56" t="s">
        <v>502</v>
      </c>
      <c r="M56" t="s">
        <v>505</v>
      </c>
    </row>
    <row r="57" spans="1:13" x14ac:dyDescent="0.35">
      <c r="A57">
        <v>56</v>
      </c>
      <c r="B57" t="s">
        <v>280</v>
      </c>
      <c r="C57" t="s">
        <v>281</v>
      </c>
      <c r="D57">
        <v>4.4000000000000004</v>
      </c>
      <c r="E57">
        <v>163368</v>
      </c>
      <c r="F57" t="s">
        <v>33</v>
      </c>
      <c r="G57">
        <v>17.18</v>
      </c>
      <c r="H57" t="s">
        <v>487</v>
      </c>
      <c r="I57">
        <v>627</v>
      </c>
      <c r="J57">
        <v>2021</v>
      </c>
      <c r="K57" t="s">
        <v>73</v>
      </c>
      <c r="L57" t="s">
        <v>497</v>
      </c>
      <c r="M57" t="s">
        <v>504</v>
      </c>
    </row>
    <row r="58" spans="1:13" x14ac:dyDescent="0.35">
      <c r="A58">
        <v>57</v>
      </c>
      <c r="B58" t="s">
        <v>284</v>
      </c>
      <c r="C58" t="s">
        <v>285</v>
      </c>
      <c r="D58">
        <v>4.8</v>
      </c>
      <c r="E58">
        <v>18031</v>
      </c>
      <c r="F58" t="s">
        <v>15</v>
      </c>
      <c r="G58">
        <v>5.6</v>
      </c>
      <c r="H58" t="s">
        <v>493</v>
      </c>
      <c r="I58">
        <v>40</v>
      </c>
      <c r="J58">
        <v>2019</v>
      </c>
      <c r="K58" t="s">
        <v>81</v>
      </c>
      <c r="L58" t="s">
        <v>503</v>
      </c>
      <c r="M58" t="s">
        <v>506</v>
      </c>
    </row>
    <row r="59" spans="1:13" x14ac:dyDescent="0.35">
      <c r="A59">
        <v>58</v>
      </c>
      <c r="B59" t="s">
        <v>289</v>
      </c>
      <c r="C59" t="s">
        <v>60</v>
      </c>
      <c r="D59">
        <v>4.5999999999999996</v>
      </c>
      <c r="E59">
        <v>165631</v>
      </c>
      <c r="F59" t="s">
        <v>33</v>
      </c>
      <c r="G59">
        <v>8.91</v>
      </c>
      <c r="H59" t="s">
        <v>487</v>
      </c>
      <c r="I59">
        <v>336</v>
      </c>
      <c r="J59">
        <v>2014</v>
      </c>
      <c r="K59" t="s">
        <v>23</v>
      </c>
      <c r="L59" t="s">
        <v>502</v>
      </c>
      <c r="M59" t="s">
        <v>505</v>
      </c>
    </row>
    <row r="60" spans="1:13" x14ac:dyDescent="0.35">
      <c r="A60">
        <v>59</v>
      </c>
      <c r="B60" t="s">
        <v>293</v>
      </c>
      <c r="C60" t="s">
        <v>294</v>
      </c>
      <c r="D60">
        <v>4.8</v>
      </c>
      <c r="E60">
        <v>75734</v>
      </c>
      <c r="F60" t="s">
        <v>78</v>
      </c>
      <c r="G60">
        <v>4.2300000000000004</v>
      </c>
      <c r="H60" t="s">
        <v>510</v>
      </c>
      <c r="I60">
        <v>34</v>
      </c>
      <c r="J60">
        <v>2014</v>
      </c>
      <c r="K60" t="s">
        <v>81</v>
      </c>
      <c r="L60" t="s">
        <v>503</v>
      </c>
      <c r="M60" t="s">
        <v>506</v>
      </c>
    </row>
    <row r="61" spans="1:13" x14ac:dyDescent="0.35">
      <c r="A61">
        <v>60</v>
      </c>
      <c r="B61" t="s">
        <v>298</v>
      </c>
      <c r="C61" t="s">
        <v>299</v>
      </c>
      <c r="D61">
        <v>4.2</v>
      </c>
      <c r="E61">
        <v>107168</v>
      </c>
      <c r="F61" t="s">
        <v>15</v>
      </c>
      <c r="G61">
        <v>12.29</v>
      </c>
      <c r="H61" t="s">
        <v>487</v>
      </c>
      <c r="I61">
        <v>400</v>
      </c>
      <c r="J61">
        <v>2023</v>
      </c>
      <c r="K61" t="s">
        <v>23</v>
      </c>
      <c r="L61" t="s">
        <v>502</v>
      </c>
      <c r="M61" t="s">
        <v>505</v>
      </c>
    </row>
    <row r="62" spans="1:13" x14ac:dyDescent="0.35">
      <c r="A62">
        <v>61</v>
      </c>
      <c r="B62" t="s">
        <v>303</v>
      </c>
      <c r="C62" t="s">
        <v>245</v>
      </c>
      <c r="D62">
        <v>4.4000000000000004</v>
      </c>
      <c r="E62">
        <v>108327</v>
      </c>
      <c r="F62" t="s">
        <v>33</v>
      </c>
      <c r="G62">
        <v>9.74</v>
      </c>
      <c r="H62" t="s">
        <v>487</v>
      </c>
      <c r="I62">
        <v>448</v>
      </c>
      <c r="J62">
        <v>2022</v>
      </c>
      <c r="K62" t="s">
        <v>305</v>
      </c>
      <c r="L62" t="s">
        <v>502</v>
      </c>
      <c r="M62" t="s">
        <v>505</v>
      </c>
    </row>
    <row r="63" spans="1:13" x14ac:dyDescent="0.35">
      <c r="A63">
        <v>62</v>
      </c>
      <c r="B63" t="s">
        <v>307</v>
      </c>
      <c r="C63" t="s">
        <v>308</v>
      </c>
      <c r="D63">
        <v>4.9000000000000004</v>
      </c>
      <c r="E63">
        <v>41314</v>
      </c>
      <c r="F63" t="s">
        <v>78</v>
      </c>
      <c r="G63">
        <v>4.17</v>
      </c>
      <c r="H63" t="s">
        <v>80</v>
      </c>
      <c r="I63">
        <v>36</v>
      </c>
      <c r="J63">
        <v>2012</v>
      </c>
      <c r="K63" t="s">
        <v>81</v>
      </c>
      <c r="L63" t="s">
        <v>503</v>
      </c>
      <c r="M63" t="s">
        <v>506</v>
      </c>
    </row>
    <row r="64" spans="1:13" x14ac:dyDescent="0.35">
      <c r="A64">
        <v>63</v>
      </c>
      <c r="B64" t="s">
        <v>311</v>
      </c>
      <c r="C64" t="s">
        <v>312</v>
      </c>
      <c r="D64">
        <v>4.4000000000000004</v>
      </c>
      <c r="E64">
        <v>109707</v>
      </c>
      <c r="F64" t="s">
        <v>15</v>
      </c>
      <c r="G64">
        <v>13.97</v>
      </c>
      <c r="H64" t="s">
        <v>487</v>
      </c>
      <c r="I64">
        <v>400</v>
      </c>
      <c r="J64">
        <v>2023</v>
      </c>
      <c r="K64" t="s">
        <v>23</v>
      </c>
      <c r="L64" t="s">
        <v>502</v>
      </c>
      <c r="M64" t="s">
        <v>505</v>
      </c>
    </row>
    <row r="65" spans="1:13" x14ac:dyDescent="0.35">
      <c r="A65">
        <v>64</v>
      </c>
      <c r="B65" t="s">
        <v>316</v>
      </c>
      <c r="C65" t="s">
        <v>317</v>
      </c>
      <c r="D65">
        <v>4.8</v>
      </c>
      <c r="E65">
        <v>5751</v>
      </c>
      <c r="F65" t="s">
        <v>15</v>
      </c>
      <c r="G65">
        <v>13.47</v>
      </c>
      <c r="H65" t="s">
        <v>487</v>
      </c>
      <c r="I65">
        <v>400</v>
      </c>
      <c r="J65">
        <v>2023</v>
      </c>
      <c r="K65" t="s">
        <v>51</v>
      </c>
      <c r="L65" t="s">
        <v>502</v>
      </c>
      <c r="M65" t="s">
        <v>505</v>
      </c>
    </row>
    <row r="66" spans="1:13" x14ac:dyDescent="0.35">
      <c r="A66">
        <v>65</v>
      </c>
      <c r="B66" t="s">
        <v>321</v>
      </c>
      <c r="C66" t="s">
        <v>322</v>
      </c>
      <c r="D66">
        <v>4.5</v>
      </c>
      <c r="E66">
        <v>86622</v>
      </c>
      <c r="F66" t="s">
        <v>33</v>
      </c>
      <c r="G66">
        <v>9.25</v>
      </c>
      <c r="H66" t="s">
        <v>487</v>
      </c>
      <c r="I66">
        <v>832</v>
      </c>
      <c r="J66">
        <v>2016</v>
      </c>
      <c r="K66" t="s">
        <v>23</v>
      </c>
      <c r="L66" t="s">
        <v>497</v>
      </c>
      <c r="M66" t="s">
        <v>505</v>
      </c>
    </row>
    <row r="67" spans="1:13" x14ac:dyDescent="0.35">
      <c r="A67">
        <v>66</v>
      </c>
      <c r="B67" t="s">
        <v>326</v>
      </c>
      <c r="C67" t="s">
        <v>327</v>
      </c>
      <c r="D67">
        <v>4.8</v>
      </c>
      <c r="E67">
        <v>18227</v>
      </c>
      <c r="F67" t="s">
        <v>33</v>
      </c>
      <c r="G67">
        <v>8.18</v>
      </c>
      <c r="H67" t="s">
        <v>487</v>
      </c>
      <c r="I67">
        <v>272</v>
      </c>
      <c r="J67">
        <v>2003</v>
      </c>
      <c r="K67" t="s">
        <v>51</v>
      </c>
      <c r="L67" t="s">
        <v>502</v>
      </c>
      <c r="M67" t="s">
        <v>505</v>
      </c>
    </row>
    <row r="68" spans="1:13" x14ac:dyDescent="0.35">
      <c r="A68">
        <v>67</v>
      </c>
      <c r="B68" t="s">
        <v>331</v>
      </c>
      <c r="C68" t="s">
        <v>332</v>
      </c>
      <c r="D68">
        <v>4.5</v>
      </c>
      <c r="E68">
        <v>43046</v>
      </c>
      <c r="F68" t="s">
        <v>15</v>
      </c>
      <c r="G68">
        <v>13.98</v>
      </c>
      <c r="H68" t="s">
        <v>487</v>
      </c>
      <c r="I68">
        <v>464</v>
      </c>
      <c r="J68">
        <v>2023</v>
      </c>
      <c r="K68" t="s">
        <v>73</v>
      </c>
      <c r="L68" t="s">
        <v>502</v>
      </c>
      <c r="M68" t="s">
        <v>505</v>
      </c>
    </row>
    <row r="69" spans="1:13" x14ac:dyDescent="0.35">
      <c r="A69">
        <v>68</v>
      </c>
      <c r="B69" t="s">
        <v>336</v>
      </c>
      <c r="C69" t="s">
        <v>337</v>
      </c>
      <c r="D69">
        <v>4.4000000000000004</v>
      </c>
      <c r="E69">
        <v>73210</v>
      </c>
      <c r="F69" t="s">
        <v>15</v>
      </c>
      <c r="G69">
        <v>15.05</v>
      </c>
      <c r="H69" t="s">
        <v>487</v>
      </c>
      <c r="I69">
        <v>400</v>
      </c>
      <c r="J69">
        <v>2023</v>
      </c>
      <c r="K69" t="s">
        <v>23</v>
      </c>
      <c r="L69" t="s">
        <v>502</v>
      </c>
      <c r="M69" t="s">
        <v>504</v>
      </c>
    </row>
    <row r="70" spans="1:13" x14ac:dyDescent="0.35">
      <c r="A70">
        <v>70</v>
      </c>
      <c r="B70" t="s">
        <v>347</v>
      </c>
      <c r="C70" t="s">
        <v>348</v>
      </c>
      <c r="D70">
        <v>4.8</v>
      </c>
      <c r="E70">
        <v>29360</v>
      </c>
      <c r="F70" t="s">
        <v>33</v>
      </c>
      <c r="G70">
        <v>8.24</v>
      </c>
      <c r="H70" t="s">
        <v>487</v>
      </c>
      <c r="I70">
        <v>320</v>
      </c>
      <c r="J70">
        <v>2007</v>
      </c>
      <c r="K70" t="s">
        <v>173</v>
      </c>
      <c r="L70" t="s">
        <v>502</v>
      </c>
      <c r="M70" t="s">
        <v>505</v>
      </c>
    </row>
    <row r="71" spans="1:13" x14ac:dyDescent="0.35">
      <c r="A71">
        <v>71</v>
      </c>
      <c r="B71" t="s">
        <v>352</v>
      </c>
      <c r="C71" t="s">
        <v>92</v>
      </c>
      <c r="D71">
        <v>4.4000000000000004</v>
      </c>
      <c r="E71">
        <v>95715</v>
      </c>
      <c r="F71" t="s">
        <v>33</v>
      </c>
      <c r="G71">
        <v>9.33</v>
      </c>
      <c r="H71" t="s">
        <v>487</v>
      </c>
      <c r="I71">
        <v>400</v>
      </c>
      <c r="J71">
        <v>2020</v>
      </c>
      <c r="K71" t="s">
        <v>23</v>
      </c>
      <c r="L71" t="s">
        <v>502</v>
      </c>
      <c r="M71" t="s">
        <v>505</v>
      </c>
    </row>
    <row r="72" spans="1:13" x14ac:dyDescent="0.35">
      <c r="A72">
        <v>72</v>
      </c>
      <c r="B72" t="s">
        <v>356</v>
      </c>
      <c r="C72" t="s">
        <v>115</v>
      </c>
      <c r="D72">
        <v>4.8</v>
      </c>
      <c r="E72">
        <v>52380</v>
      </c>
      <c r="F72" t="s">
        <v>33</v>
      </c>
      <c r="G72">
        <v>47.9</v>
      </c>
      <c r="H72" t="s">
        <v>487</v>
      </c>
      <c r="I72">
        <v>2896</v>
      </c>
      <c r="J72">
        <v>2022</v>
      </c>
      <c r="K72" t="s">
        <v>23</v>
      </c>
      <c r="L72" t="s">
        <v>498</v>
      </c>
      <c r="M72" t="s">
        <v>508</v>
      </c>
    </row>
    <row r="73" spans="1:13" x14ac:dyDescent="0.35">
      <c r="A73">
        <v>73</v>
      </c>
      <c r="B73" t="s">
        <v>359</v>
      </c>
      <c r="C73" t="s">
        <v>360</v>
      </c>
      <c r="D73">
        <v>4.7</v>
      </c>
      <c r="E73">
        <v>109703</v>
      </c>
      <c r="F73" t="s">
        <v>33</v>
      </c>
      <c r="G73">
        <v>15.44</v>
      </c>
      <c r="H73" t="s">
        <v>487</v>
      </c>
      <c r="I73">
        <v>320</v>
      </c>
      <c r="J73">
        <v>1998</v>
      </c>
      <c r="K73" t="s">
        <v>17</v>
      </c>
      <c r="L73" t="s">
        <v>502</v>
      </c>
      <c r="M73" t="s">
        <v>504</v>
      </c>
    </row>
    <row r="74" spans="1:13" x14ac:dyDescent="0.35">
      <c r="A74">
        <v>74</v>
      </c>
      <c r="B74" t="s">
        <v>363</v>
      </c>
      <c r="C74" t="s">
        <v>364</v>
      </c>
      <c r="D74">
        <v>4.8</v>
      </c>
      <c r="E74">
        <v>25279</v>
      </c>
      <c r="F74" t="s">
        <v>15</v>
      </c>
      <c r="G74">
        <v>9.4</v>
      </c>
      <c r="H74" t="s">
        <v>490</v>
      </c>
      <c r="I74">
        <v>208</v>
      </c>
      <c r="J74">
        <v>2018</v>
      </c>
      <c r="K74" t="s">
        <v>158</v>
      </c>
      <c r="L74" t="s">
        <v>502</v>
      </c>
      <c r="M74" t="s">
        <v>505</v>
      </c>
    </row>
    <row r="75" spans="1:13" x14ac:dyDescent="0.35">
      <c r="A75">
        <v>75</v>
      </c>
      <c r="B75" t="s">
        <v>366</v>
      </c>
      <c r="C75" t="s">
        <v>367</v>
      </c>
      <c r="D75">
        <v>4.8</v>
      </c>
      <c r="E75">
        <v>127734</v>
      </c>
      <c r="F75" t="s">
        <v>15</v>
      </c>
      <c r="G75">
        <v>17.62</v>
      </c>
      <c r="H75" t="s">
        <v>491</v>
      </c>
      <c r="I75">
        <v>128</v>
      </c>
      <c r="J75">
        <v>2019</v>
      </c>
      <c r="K75" t="s">
        <v>138</v>
      </c>
      <c r="L75" t="s">
        <v>499</v>
      </c>
      <c r="M75" t="s">
        <v>504</v>
      </c>
    </row>
    <row r="76" spans="1:13" x14ac:dyDescent="0.35">
      <c r="A76">
        <v>76</v>
      </c>
      <c r="B76" t="s">
        <v>371</v>
      </c>
      <c r="C76" t="s">
        <v>372</v>
      </c>
      <c r="D76">
        <v>4.8</v>
      </c>
      <c r="E76">
        <v>104512</v>
      </c>
      <c r="F76" t="s">
        <v>33</v>
      </c>
      <c r="G76">
        <v>24.99</v>
      </c>
      <c r="H76" t="s">
        <v>487</v>
      </c>
      <c r="I76">
        <v>364</v>
      </c>
      <c r="J76">
        <v>2018</v>
      </c>
      <c r="K76" t="s">
        <v>17</v>
      </c>
      <c r="L76" t="s">
        <v>502</v>
      </c>
      <c r="M76" t="s">
        <v>507</v>
      </c>
    </row>
    <row r="77" spans="1:13" x14ac:dyDescent="0.35">
      <c r="A77">
        <v>77</v>
      </c>
      <c r="B77" t="s">
        <v>376</v>
      </c>
      <c r="C77" t="s">
        <v>377</v>
      </c>
      <c r="D77">
        <v>4.8</v>
      </c>
      <c r="E77">
        <v>14746</v>
      </c>
      <c r="F77" t="s">
        <v>33</v>
      </c>
      <c r="G77">
        <v>24.62</v>
      </c>
      <c r="H77" t="s">
        <v>495</v>
      </c>
      <c r="I77">
        <v>928</v>
      </c>
      <c r="J77">
        <v>2013</v>
      </c>
      <c r="K77" t="s">
        <v>23</v>
      </c>
      <c r="L77" t="s">
        <v>497</v>
      </c>
      <c r="M77" t="s">
        <v>507</v>
      </c>
    </row>
    <row r="78" spans="1:13" x14ac:dyDescent="0.35">
      <c r="A78">
        <v>78</v>
      </c>
      <c r="B78" t="s">
        <v>382</v>
      </c>
      <c r="C78" t="s">
        <v>383</v>
      </c>
      <c r="D78">
        <v>4.0999999999999996</v>
      </c>
      <c r="E78">
        <v>72785</v>
      </c>
      <c r="F78" t="s">
        <v>15</v>
      </c>
      <c r="G78">
        <v>12.97</v>
      </c>
      <c r="H78" t="s">
        <v>487</v>
      </c>
      <c r="I78">
        <v>352</v>
      </c>
      <c r="J78">
        <v>2023</v>
      </c>
      <c r="K78" t="s">
        <v>73</v>
      </c>
      <c r="L78" t="s">
        <v>502</v>
      </c>
      <c r="M78" t="s">
        <v>505</v>
      </c>
    </row>
    <row r="79" spans="1:13" x14ac:dyDescent="0.35">
      <c r="A79">
        <v>79</v>
      </c>
      <c r="B79" t="s">
        <v>388</v>
      </c>
      <c r="C79" t="s">
        <v>389</v>
      </c>
      <c r="D79">
        <v>4.8</v>
      </c>
      <c r="E79">
        <v>20638</v>
      </c>
      <c r="F79" t="s">
        <v>15</v>
      </c>
      <c r="G79">
        <v>9.82</v>
      </c>
      <c r="H79" t="s">
        <v>494</v>
      </c>
      <c r="I79">
        <v>40</v>
      </c>
      <c r="J79">
        <v>2012</v>
      </c>
      <c r="K79" t="s">
        <v>81</v>
      </c>
      <c r="L79" t="s">
        <v>503</v>
      </c>
      <c r="M79" t="s">
        <v>505</v>
      </c>
    </row>
    <row r="80" spans="1:13" x14ac:dyDescent="0.35">
      <c r="A80">
        <v>80</v>
      </c>
      <c r="B80" t="s">
        <v>392</v>
      </c>
      <c r="C80" t="s">
        <v>393</v>
      </c>
      <c r="D80">
        <v>4.7</v>
      </c>
      <c r="E80">
        <v>396005</v>
      </c>
      <c r="F80" t="s">
        <v>33</v>
      </c>
      <c r="G80">
        <v>13.48</v>
      </c>
      <c r="H80" t="s">
        <v>487</v>
      </c>
      <c r="I80">
        <v>608</v>
      </c>
      <c r="J80">
        <v>2017</v>
      </c>
      <c r="K80" t="s">
        <v>23</v>
      </c>
      <c r="L80" t="s">
        <v>497</v>
      </c>
      <c r="M80" t="s">
        <v>505</v>
      </c>
    </row>
    <row r="81" spans="1:13" x14ac:dyDescent="0.35">
      <c r="A81">
        <v>82</v>
      </c>
      <c r="B81" t="s">
        <v>403</v>
      </c>
      <c r="C81" t="s">
        <v>404</v>
      </c>
      <c r="D81">
        <v>4.8</v>
      </c>
      <c r="E81">
        <v>27090</v>
      </c>
      <c r="F81" t="s">
        <v>33</v>
      </c>
      <c r="G81">
        <v>10.210000000000001</v>
      </c>
      <c r="H81" t="s">
        <v>487</v>
      </c>
      <c r="I81">
        <v>216</v>
      </c>
      <c r="J81">
        <v>2015</v>
      </c>
      <c r="K81" t="s">
        <v>17</v>
      </c>
      <c r="L81" t="s">
        <v>502</v>
      </c>
      <c r="M81" t="s">
        <v>505</v>
      </c>
    </row>
    <row r="82" spans="1:13" x14ac:dyDescent="0.35">
      <c r="A82">
        <v>83</v>
      </c>
      <c r="B82" t="s">
        <v>408</v>
      </c>
      <c r="C82" t="s">
        <v>409</v>
      </c>
      <c r="D82">
        <v>4.7</v>
      </c>
      <c r="E82">
        <v>14647</v>
      </c>
      <c r="F82" t="s">
        <v>33</v>
      </c>
      <c r="G82">
        <v>10.199999999999999</v>
      </c>
      <c r="H82" t="s">
        <v>487</v>
      </c>
      <c r="I82">
        <v>200</v>
      </c>
      <c r="J82">
        <v>2021</v>
      </c>
      <c r="K82" t="s">
        <v>173</v>
      </c>
      <c r="L82" t="s">
        <v>502</v>
      </c>
      <c r="M82" t="s">
        <v>505</v>
      </c>
    </row>
    <row r="83" spans="1:13" x14ac:dyDescent="0.35">
      <c r="A83">
        <v>84</v>
      </c>
      <c r="B83" t="s">
        <v>413</v>
      </c>
      <c r="C83" t="s">
        <v>115</v>
      </c>
      <c r="D83">
        <v>4.7</v>
      </c>
      <c r="E83">
        <v>269981</v>
      </c>
      <c r="F83" t="s">
        <v>33</v>
      </c>
      <c r="G83">
        <v>12.81</v>
      </c>
      <c r="H83" t="s">
        <v>487</v>
      </c>
      <c r="I83">
        <v>736</v>
      </c>
      <c r="J83">
        <v>2020</v>
      </c>
      <c r="K83" t="s">
        <v>23</v>
      </c>
      <c r="L83" t="s">
        <v>497</v>
      </c>
      <c r="M83" t="s">
        <v>505</v>
      </c>
    </row>
    <row r="84" spans="1:13" x14ac:dyDescent="0.35">
      <c r="A84">
        <v>85</v>
      </c>
      <c r="B84" t="s">
        <v>416</v>
      </c>
      <c r="C84" t="s">
        <v>417</v>
      </c>
      <c r="D84">
        <v>4.5</v>
      </c>
      <c r="E84">
        <v>158416</v>
      </c>
      <c r="F84" t="s">
        <v>15</v>
      </c>
      <c r="G84">
        <v>13.43</v>
      </c>
      <c r="H84" t="s">
        <v>487</v>
      </c>
      <c r="I84">
        <v>224</v>
      </c>
      <c r="J84">
        <v>2016</v>
      </c>
      <c r="K84" t="s">
        <v>17</v>
      </c>
      <c r="L84" t="s">
        <v>502</v>
      </c>
      <c r="M84" t="s">
        <v>505</v>
      </c>
    </row>
    <row r="85" spans="1:13" x14ac:dyDescent="0.35">
      <c r="A85">
        <v>86</v>
      </c>
      <c r="B85" t="s">
        <v>421</v>
      </c>
      <c r="C85" t="s">
        <v>422</v>
      </c>
      <c r="D85">
        <v>4.7</v>
      </c>
      <c r="E85">
        <v>13739</v>
      </c>
      <c r="F85" t="s">
        <v>33</v>
      </c>
      <c r="G85">
        <v>14.71</v>
      </c>
      <c r="H85" t="s">
        <v>487</v>
      </c>
      <c r="I85">
        <v>721</v>
      </c>
      <c r="J85">
        <v>2006</v>
      </c>
      <c r="K85" t="s">
        <v>30</v>
      </c>
      <c r="L85" t="s">
        <v>497</v>
      </c>
      <c r="M85" t="s">
        <v>505</v>
      </c>
    </row>
    <row r="86" spans="1:13" x14ac:dyDescent="0.35">
      <c r="A86">
        <v>87</v>
      </c>
      <c r="B86" t="s">
        <v>426</v>
      </c>
      <c r="C86" t="s">
        <v>427</v>
      </c>
      <c r="D86">
        <v>4.7</v>
      </c>
      <c r="E86">
        <v>7992</v>
      </c>
      <c r="F86" t="s">
        <v>15</v>
      </c>
      <c r="G86">
        <v>12.81</v>
      </c>
      <c r="H86" t="s">
        <v>487</v>
      </c>
      <c r="I86">
        <v>352</v>
      </c>
      <c r="J86">
        <v>2022</v>
      </c>
      <c r="K86" t="s">
        <v>57</v>
      </c>
      <c r="L86" t="s">
        <v>502</v>
      </c>
      <c r="M86" t="s">
        <v>505</v>
      </c>
    </row>
    <row r="87" spans="1:13" x14ac:dyDescent="0.35">
      <c r="A87">
        <v>88</v>
      </c>
      <c r="B87" t="s">
        <v>430</v>
      </c>
      <c r="C87" t="s">
        <v>229</v>
      </c>
      <c r="D87">
        <v>4.5999999999999996</v>
      </c>
      <c r="E87">
        <v>3296</v>
      </c>
      <c r="F87" t="s">
        <v>33</v>
      </c>
      <c r="G87">
        <v>21.74</v>
      </c>
      <c r="H87" t="s">
        <v>487</v>
      </c>
      <c r="I87">
        <v>227</v>
      </c>
      <c r="J87">
        <v>2023</v>
      </c>
      <c r="K87" t="s">
        <v>17</v>
      </c>
      <c r="L87" t="s">
        <v>502</v>
      </c>
      <c r="M87" t="s">
        <v>504</v>
      </c>
    </row>
    <row r="88" spans="1:13" x14ac:dyDescent="0.35">
      <c r="A88">
        <v>89</v>
      </c>
      <c r="B88" t="s">
        <v>434</v>
      </c>
      <c r="C88" t="s">
        <v>435</v>
      </c>
      <c r="D88">
        <v>4.5999999999999996</v>
      </c>
      <c r="E88">
        <v>123058</v>
      </c>
      <c r="F88" t="s">
        <v>33</v>
      </c>
      <c r="G88">
        <v>5.03</v>
      </c>
      <c r="H88" t="s">
        <v>487</v>
      </c>
      <c r="I88">
        <v>208</v>
      </c>
      <c r="J88">
        <v>2014</v>
      </c>
      <c r="K88" t="s">
        <v>30</v>
      </c>
      <c r="L88" t="s">
        <v>502</v>
      </c>
      <c r="M88" t="s">
        <v>506</v>
      </c>
    </row>
    <row r="89" spans="1:13" x14ac:dyDescent="0.35">
      <c r="A89">
        <v>90</v>
      </c>
      <c r="B89" t="s">
        <v>439</v>
      </c>
      <c r="C89" t="s">
        <v>440</v>
      </c>
      <c r="D89">
        <v>4.9000000000000004</v>
      </c>
      <c r="E89">
        <v>67104</v>
      </c>
      <c r="F89" t="s">
        <v>33</v>
      </c>
      <c r="G89">
        <v>4.9800000000000004</v>
      </c>
      <c r="H89" t="s">
        <v>510</v>
      </c>
      <c r="I89">
        <v>32</v>
      </c>
      <c r="J89">
        <v>1995</v>
      </c>
      <c r="K89" t="s">
        <v>81</v>
      </c>
      <c r="L89" t="s">
        <v>503</v>
      </c>
      <c r="M89" t="s">
        <v>506</v>
      </c>
    </row>
    <row r="90" spans="1:13" x14ac:dyDescent="0.35">
      <c r="A90">
        <v>91</v>
      </c>
      <c r="B90" t="s">
        <v>444</v>
      </c>
      <c r="C90" t="s">
        <v>445</v>
      </c>
      <c r="D90">
        <v>4.8</v>
      </c>
      <c r="E90">
        <v>37369</v>
      </c>
      <c r="F90" t="s">
        <v>15</v>
      </c>
      <c r="G90">
        <v>5.96</v>
      </c>
      <c r="H90" t="s">
        <v>493</v>
      </c>
      <c r="I90">
        <v>40</v>
      </c>
      <c r="J90">
        <v>2019</v>
      </c>
      <c r="K90" t="s">
        <v>81</v>
      </c>
      <c r="L90" t="s">
        <v>503</v>
      </c>
      <c r="M90" t="s">
        <v>506</v>
      </c>
    </row>
    <row r="91" spans="1:13" x14ac:dyDescent="0.35">
      <c r="A91">
        <v>92</v>
      </c>
      <c r="B91" t="s">
        <v>449</v>
      </c>
      <c r="C91" t="s">
        <v>450</v>
      </c>
      <c r="D91">
        <v>4.5</v>
      </c>
      <c r="E91">
        <v>235857</v>
      </c>
      <c r="F91" t="s">
        <v>33</v>
      </c>
      <c r="G91">
        <v>10.18</v>
      </c>
      <c r="H91" t="s">
        <v>487</v>
      </c>
      <c r="I91">
        <v>544</v>
      </c>
      <c r="J91">
        <v>2017</v>
      </c>
      <c r="K91" t="s">
        <v>23</v>
      </c>
      <c r="L91" t="s">
        <v>497</v>
      </c>
      <c r="M91" t="s">
        <v>505</v>
      </c>
    </row>
    <row r="92" spans="1:13" x14ac:dyDescent="0.35">
      <c r="A92">
        <v>93</v>
      </c>
      <c r="B92" t="s">
        <v>454</v>
      </c>
      <c r="C92" t="s">
        <v>455</v>
      </c>
      <c r="D92">
        <v>4.5</v>
      </c>
      <c r="E92">
        <v>105084</v>
      </c>
      <c r="F92" t="s">
        <v>33</v>
      </c>
      <c r="G92">
        <v>10.83</v>
      </c>
      <c r="H92" t="s">
        <v>495</v>
      </c>
      <c r="I92">
        <v>528</v>
      </c>
      <c r="J92">
        <v>2023</v>
      </c>
      <c r="K92" t="s">
        <v>23</v>
      </c>
      <c r="L92" t="s">
        <v>497</v>
      </c>
      <c r="M92" t="s">
        <v>505</v>
      </c>
    </row>
    <row r="93" spans="1:13" x14ac:dyDescent="0.35">
      <c r="A93">
        <v>94</v>
      </c>
      <c r="B93" t="s">
        <v>458</v>
      </c>
      <c r="C93" t="s">
        <v>459</v>
      </c>
      <c r="D93">
        <v>4.8</v>
      </c>
      <c r="E93">
        <v>30260</v>
      </c>
      <c r="F93" t="s">
        <v>33</v>
      </c>
      <c r="G93">
        <v>9.43</v>
      </c>
      <c r="H93" t="s">
        <v>487</v>
      </c>
      <c r="I93">
        <v>656</v>
      </c>
      <c r="J93">
        <v>2016</v>
      </c>
      <c r="K93" t="s">
        <v>57</v>
      </c>
      <c r="L93" t="s">
        <v>497</v>
      </c>
      <c r="M93" t="s">
        <v>505</v>
      </c>
    </row>
    <row r="94" spans="1:13" x14ac:dyDescent="0.35">
      <c r="A94">
        <v>95</v>
      </c>
      <c r="B94" t="s">
        <v>462</v>
      </c>
      <c r="C94" t="s">
        <v>463</v>
      </c>
      <c r="D94">
        <v>4.3</v>
      </c>
      <c r="E94">
        <v>168512</v>
      </c>
      <c r="F94" t="s">
        <v>33</v>
      </c>
      <c r="G94">
        <v>7.16</v>
      </c>
      <c r="H94" t="s">
        <v>487</v>
      </c>
      <c r="I94">
        <v>336</v>
      </c>
      <c r="J94">
        <v>2023</v>
      </c>
      <c r="K94" t="s">
        <v>23</v>
      </c>
      <c r="L94" t="s">
        <v>502</v>
      </c>
      <c r="M94" t="s">
        <v>505</v>
      </c>
    </row>
    <row r="95" spans="1:13" x14ac:dyDescent="0.35">
      <c r="A95">
        <v>96</v>
      </c>
      <c r="B95" t="s">
        <v>467</v>
      </c>
      <c r="C95" t="s">
        <v>468</v>
      </c>
      <c r="D95">
        <v>4.8</v>
      </c>
      <c r="E95">
        <v>40073</v>
      </c>
      <c r="F95" t="s">
        <v>15</v>
      </c>
      <c r="G95">
        <v>12</v>
      </c>
      <c r="H95" t="s">
        <v>492</v>
      </c>
      <c r="I95">
        <v>192</v>
      </c>
      <c r="J95">
        <v>2018</v>
      </c>
      <c r="K95" t="s">
        <v>158</v>
      </c>
      <c r="L95" t="s">
        <v>502</v>
      </c>
      <c r="M95" t="s">
        <v>505</v>
      </c>
    </row>
    <row r="96" spans="1:13" x14ac:dyDescent="0.35">
      <c r="A96">
        <v>97</v>
      </c>
      <c r="B96" t="s">
        <v>471</v>
      </c>
      <c r="C96" t="s">
        <v>472</v>
      </c>
      <c r="D96">
        <v>4.8</v>
      </c>
      <c r="E96">
        <v>91554</v>
      </c>
      <c r="F96" t="s">
        <v>33</v>
      </c>
      <c r="G96">
        <v>1.89</v>
      </c>
      <c r="H96" t="s">
        <v>487</v>
      </c>
      <c r="I96">
        <v>224</v>
      </c>
      <c r="J96">
        <v>2024</v>
      </c>
      <c r="K96" t="s">
        <v>17</v>
      </c>
      <c r="L96" t="s">
        <v>502</v>
      </c>
      <c r="M96" t="s">
        <v>506</v>
      </c>
    </row>
    <row r="97" spans="1:13" x14ac:dyDescent="0.35">
      <c r="A97">
        <v>98</v>
      </c>
      <c r="B97" t="s">
        <v>475</v>
      </c>
      <c r="C97" t="s">
        <v>476</v>
      </c>
      <c r="D97">
        <v>4.8</v>
      </c>
      <c r="E97">
        <v>89173</v>
      </c>
      <c r="F97" t="s">
        <v>33</v>
      </c>
      <c r="G97">
        <v>5.26</v>
      </c>
      <c r="H97" t="s">
        <v>183</v>
      </c>
      <c r="I97">
        <v>84</v>
      </c>
      <c r="J97">
        <v>2019</v>
      </c>
      <c r="K97" t="s">
        <v>81</v>
      </c>
      <c r="L97" t="s">
        <v>499</v>
      </c>
      <c r="M97" t="s">
        <v>506</v>
      </c>
    </row>
    <row r="98" spans="1:13" x14ac:dyDescent="0.35">
      <c r="A98">
        <v>99</v>
      </c>
      <c r="B98" t="s">
        <v>479</v>
      </c>
      <c r="C98" t="s">
        <v>445</v>
      </c>
      <c r="D98">
        <v>4.8</v>
      </c>
      <c r="E98">
        <v>34994</v>
      </c>
      <c r="F98" t="s">
        <v>15</v>
      </c>
      <c r="G98">
        <v>5.71</v>
      </c>
      <c r="H98" t="s">
        <v>493</v>
      </c>
      <c r="I98">
        <v>40</v>
      </c>
      <c r="J98">
        <v>2018</v>
      </c>
      <c r="K98" t="s">
        <v>81</v>
      </c>
      <c r="L98" t="s">
        <v>503</v>
      </c>
      <c r="M98" t="s">
        <v>506</v>
      </c>
    </row>
    <row r="99" spans="1:13" x14ac:dyDescent="0.35">
      <c r="A99">
        <v>100</v>
      </c>
      <c r="B99" t="s">
        <v>483</v>
      </c>
      <c r="C99" t="s">
        <v>115</v>
      </c>
      <c r="D99">
        <v>4.2</v>
      </c>
      <c r="E99">
        <v>181184</v>
      </c>
      <c r="F99" t="s">
        <v>33</v>
      </c>
      <c r="G99">
        <v>12.74</v>
      </c>
      <c r="H99" t="s">
        <v>487</v>
      </c>
      <c r="I99">
        <v>272</v>
      </c>
      <c r="J99">
        <v>2020</v>
      </c>
      <c r="K99" t="s">
        <v>23</v>
      </c>
      <c r="L99" t="s">
        <v>502</v>
      </c>
      <c r="M99" t="s">
        <v>505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101"/>
  <sheetViews>
    <sheetView topLeftCell="A21" workbookViewId="0">
      <selection activeCell="B104" sqref="B104"/>
    </sheetView>
  </sheetViews>
  <sheetFormatPr defaultRowHeight="14.5" x14ac:dyDescent="0.35"/>
  <cols>
    <col min="2" max="2" width="12.26953125" customWidth="1"/>
    <col min="5" max="5" width="14.453125" customWidth="1"/>
    <col min="8" max="8" width="12.81640625" customWidth="1"/>
    <col min="9" max="9" width="13" customWidth="1"/>
    <col min="10" max="10" width="15.6328125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5">
      <c r="A2" t="s">
        <v>11</v>
      </c>
      <c r="B2" t="s">
        <v>12</v>
      </c>
      <c r="C2" t="s">
        <v>13</v>
      </c>
      <c r="D2" t="s">
        <v>14</v>
      </c>
      <c r="E2">
        <v>145747</v>
      </c>
      <c r="F2" t="s">
        <v>15</v>
      </c>
      <c r="G2" t="s">
        <v>16</v>
      </c>
      <c r="I2">
        <v>320</v>
      </c>
      <c r="J2" s="1">
        <v>43389</v>
      </c>
      <c r="K2" t="s">
        <v>17</v>
      </c>
    </row>
    <row r="3" spans="1:11" x14ac:dyDescent="0.35">
      <c r="A3" t="s">
        <v>18</v>
      </c>
      <c r="B3" t="s">
        <v>19</v>
      </c>
      <c r="C3" t="s">
        <v>20</v>
      </c>
      <c r="D3" t="s">
        <v>21</v>
      </c>
      <c r="E3">
        <v>395512</v>
      </c>
      <c r="F3" t="s">
        <v>15</v>
      </c>
      <c r="G3" t="s">
        <v>22</v>
      </c>
      <c r="I3">
        <v>640</v>
      </c>
      <c r="J3" s="1">
        <v>45237</v>
      </c>
      <c r="K3" t="s">
        <v>23</v>
      </c>
    </row>
    <row r="4" spans="1:11" x14ac:dyDescent="0.35">
      <c r="A4" t="s">
        <v>24</v>
      </c>
      <c r="B4" t="s">
        <v>25</v>
      </c>
      <c r="C4" t="s">
        <v>26</v>
      </c>
      <c r="D4" t="s">
        <v>27</v>
      </c>
      <c r="E4">
        <v>116101</v>
      </c>
      <c r="F4" t="s">
        <v>15</v>
      </c>
      <c r="G4" t="s">
        <v>28</v>
      </c>
      <c r="I4">
        <v>416</v>
      </c>
      <c r="J4" t="s">
        <v>29</v>
      </c>
      <c r="K4" t="s">
        <v>30</v>
      </c>
    </row>
    <row r="5" spans="1:11" x14ac:dyDescent="0.35">
      <c r="A5" t="s">
        <v>31</v>
      </c>
      <c r="B5" t="s">
        <v>32</v>
      </c>
      <c r="C5" t="s">
        <v>20</v>
      </c>
      <c r="D5" t="s">
        <v>14</v>
      </c>
      <c r="E5">
        <v>472618</v>
      </c>
      <c r="F5" t="s">
        <v>33</v>
      </c>
      <c r="G5" t="s">
        <v>34</v>
      </c>
      <c r="I5">
        <v>544</v>
      </c>
      <c r="J5" s="1">
        <v>45552</v>
      </c>
      <c r="K5" t="s">
        <v>23</v>
      </c>
    </row>
    <row r="6" spans="1:11" x14ac:dyDescent="0.35">
      <c r="A6" t="s">
        <v>35</v>
      </c>
      <c r="B6" t="s">
        <v>36</v>
      </c>
      <c r="C6" t="s">
        <v>37</v>
      </c>
      <c r="D6" t="s">
        <v>38</v>
      </c>
      <c r="E6">
        <v>51520</v>
      </c>
      <c r="F6" t="s">
        <v>15</v>
      </c>
      <c r="G6" t="s">
        <v>39</v>
      </c>
      <c r="I6">
        <v>288</v>
      </c>
      <c r="J6" t="s">
        <v>40</v>
      </c>
      <c r="K6" t="s">
        <v>30</v>
      </c>
    </row>
    <row r="7" spans="1:11" x14ac:dyDescent="0.35">
      <c r="A7" t="s">
        <v>41</v>
      </c>
      <c r="B7" t="s">
        <v>42</v>
      </c>
      <c r="C7" t="s">
        <v>43</v>
      </c>
      <c r="D7" t="s">
        <v>44</v>
      </c>
      <c r="E7">
        <v>322650</v>
      </c>
      <c r="F7" t="s">
        <v>15</v>
      </c>
      <c r="G7" t="s">
        <v>45</v>
      </c>
      <c r="I7">
        <v>400</v>
      </c>
      <c r="J7" t="s">
        <v>46</v>
      </c>
      <c r="K7" t="s">
        <v>23</v>
      </c>
    </row>
    <row r="8" spans="1:11" x14ac:dyDescent="0.35">
      <c r="A8" t="s">
        <v>47</v>
      </c>
      <c r="B8" t="s">
        <v>48</v>
      </c>
      <c r="C8" t="s">
        <v>49</v>
      </c>
      <c r="D8" t="s">
        <v>21</v>
      </c>
      <c r="E8">
        <v>87375</v>
      </c>
      <c r="F8" t="s">
        <v>33</v>
      </c>
      <c r="G8" t="s">
        <v>50</v>
      </c>
      <c r="I8">
        <v>452</v>
      </c>
      <c r="J8" s="1">
        <v>36770</v>
      </c>
      <c r="K8" t="s">
        <v>51</v>
      </c>
    </row>
    <row r="9" spans="1:11" x14ac:dyDescent="0.35">
      <c r="A9" t="s">
        <v>52</v>
      </c>
      <c r="B9" t="s">
        <v>53</v>
      </c>
      <c r="C9" t="s">
        <v>54</v>
      </c>
      <c r="D9" t="s">
        <v>14</v>
      </c>
      <c r="E9">
        <v>82564</v>
      </c>
      <c r="F9" t="s">
        <v>33</v>
      </c>
      <c r="G9" t="s">
        <v>55</v>
      </c>
      <c r="H9" t="s">
        <v>56</v>
      </c>
      <c r="I9">
        <v>464</v>
      </c>
      <c r="J9" s="1">
        <v>42255</v>
      </c>
      <c r="K9" t="s">
        <v>57</v>
      </c>
    </row>
    <row r="10" spans="1:11" x14ac:dyDescent="0.35">
      <c r="A10" t="s">
        <v>58</v>
      </c>
      <c r="B10" t="s">
        <v>59</v>
      </c>
      <c r="C10" t="s">
        <v>60</v>
      </c>
      <c r="D10" t="s">
        <v>27</v>
      </c>
      <c r="E10">
        <v>228242</v>
      </c>
      <c r="F10" t="s">
        <v>33</v>
      </c>
      <c r="G10" t="s">
        <v>61</v>
      </c>
      <c r="I10">
        <v>336</v>
      </c>
      <c r="J10" s="1">
        <v>44852</v>
      </c>
      <c r="K10" t="s">
        <v>23</v>
      </c>
    </row>
    <row r="11" spans="1:11" x14ac:dyDescent="0.35">
      <c r="A11" t="s">
        <v>62</v>
      </c>
      <c r="B11" t="s">
        <v>63</v>
      </c>
      <c r="C11" t="s">
        <v>64</v>
      </c>
      <c r="D11" t="s">
        <v>44</v>
      </c>
      <c r="E11">
        <v>19946</v>
      </c>
      <c r="F11" t="s">
        <v>15</v>
      </c>
      <c r="G11" t="s">
        <v>65</v>
      </c>
      <c r="I11">
        <v>496</v>
      </c>
      <c r="J11" s="1">
        <v>45013</v>
      </c>
      <c r="K11" t="s">
        <v>57</v>
      </c>
    </row>
    <row r="12" spans="1:11" x14ac:dyDescent="0.35">
      <c r="A12" t="s">
        <v>66</v>
      </c>
      <c r="B12" t="s">
        <v>67</v>
      </c>
      <c r="C12" t="s">
        <v>60</v>
      </c>
      <c r="D12" t="s">
        <v>21</v>
      </c>
      <c r="E12">
        <v>405311</v>
      </c>
      <c r="F12" t="s">
        <v>33</v>
      </c>
      <c r="G12" t="s">
        <v>68</v>
      </c>
      <c r="I12">
        <v>384</v>
      </c>
      <c r="J12" s="1">
        <v>42584</v>
      </c>
      <c r="K12" t="s">
        <v>23</v>
      </c>
    </row>
    <row r="13" spans="1:11" x14ac:dyDescent="0.35">
      <c r="A13" t="s">
        <v>69</v>
      </c>
      <c r="B13" t="s">
        <v>70</v>
      </c>
      <c r="C13" t="s">
        <v>71</v>
      </c>
      <c r="D13" t="s">
        <v>27</v>
      </c>
      <c r="E13">
        <v>653111</v>
      </c>
      <c r="F13" t="s">
        <v>33</v>
      </c>
      <c r="G13" t="s">
        <v>72</v>
      </c>
      <c r="I13">
        <v>336</v>
      </c>
      <c r="J13" s="1">
        <v>44796</v>
      </c>
      <c r="K13" t="s">
        <v>73</v>
      </c>
    </row>
    <row r="14" spans="1:11" x14ac:dyDescent="0.35">
      <c r="A14" t="s">
        <v>74</v>
      </c>
      <c r="B14" t="s">
        <v>75</v>
      </c>
      <c r="C14" t="s">
        <v>76</v>
      </c>
      <c r="D14" t="s">
        <v>77</v>
      </c>
      <c r="E14">
        <v>78436</v>
      </c>
      <c r="F14" t="s">
        <v>78</v>
      </c>
      <c r="G14" t="s">
        <v>79</v>
      </c>
      <c r="H14" t="s">
        <v>80</v>
      </c>
      <c r="I14">
        <v>26</v>
      </c>
      <c r="J14" s="1">
        <v>34416</v>
      </c>
      <c r="K14" t="s">
        <v>81</v>
      </c>
    </row>
    <row r="15" spans="1:11" x14ac:dyDescent="0.35">
      <c r="A15" t="s">
        <v>82</v>
      </c>
      <c r="B15" t="s">
        <v>83</v>
      </c>
      <c r="C15" t="s">
        <v>84</v>
      </c>
      <c r="D15" t="s">
        <v>38</v>
      </c>
      <c r="E15">
        <v>80996</v>
      </c>
      <c r="F15" t="s">
        <v>33</v>
      </c>
      <c r="G15" t="s">
        <v>85</v>
      </c>
      <c r="I15">
        <v>416</v>
      </c>
      <c r="J15" t="s">
        <v>86</v>
      </c>
      <c r="K15" t="s">
        <v>51</v>
      </c>
    </row>
    <row r="16" spans="1:11" x14ac:dyDescent="0.35">
      <c r="A16" t="s">
        <v>87</v>
      </c>
      <c r="B16" t="s">
        <v>88</v>
      </c>
      <c r="C16" t="s">
        <v>60</v>
      </c>
      <c r="D16" t="s">
        <v>44</v>
      </c>
      <c r="E16">
        <v>443390</v>
      </c>
      <c r="F16" t="s">
        <v>33</v>
      </c>
      <c r="G16" t="s">
        <v>89</v>
      </c>
      <c r="I16">
        <v>336</v>
      </c>
      <c r="J16" s="1">
        <v>44495</v>
      </c>
      <c r="K16" t="s">
        <v>23</v>
      </c>
    </row>
    <row r="17" spans="1:11" x14ac:dyDescent="0.35">
      <c r="A17" t="s">
        <v>90</v>
      </c>
      <c r="B17" t="s">
        <v>91</v>
      </c>
      <c r="C17" t="s">
        <v>92</v>
      </c>
      <c r="D17" t="s">
        <v>44</v>
      </c>
      <c r="E17">
        <v>270507</v>
      </c>
      <c r="F17" t="s">
        <v>33</v>
      </c>
      <c r="G17" t="s">
        <v>93</v>
      </c>
      <c r="I17">
        <v>400</v>
      </c>
      <c r="J17" s="1">
        <v>43249</v>
      </c>
      <c r="K17" t="s">
        <v>23</v>
      </c>
    </row>
    <row r="18" spans="1:11" x14ac:dyDescent="0.35">
      <c r="A18" t="s">
        <v>94</v>
      </c>
      <c r="B18" t="s">
        <v>95</v>
      </c>
      <c r="C18" t="s">
        <v>96</v>
      </c>
      <c r="D18" t="s">
        <v>21</v>
      </c>
      <c r="E18">
        <v>10805</v>
      </c>
      <c r="F18" t="s">
        <v>15</v>
      </c>
      <c r="G18" t="s">
        <v>97</v>
      </c>
      <c r="I18">
        <v>432</v>
      </c>
      <c r="J18" s="1">
        <v>44943</v>
      </c>
      <c r="K18" t="s">
        <v>57</v>
      </c>
    </row>
    <row r="19" spans="1:11" x14ac:dyDescent="0.35">
      <c r="A19" t="s">
        <v>98</v>
      </c>
      <c r="B19" t="s">
        <v>99</v>
      </c>
      <c r="C19" t="s">
        <v>100</v>
      </c>
      <c r="D19" t="s">
        <v>77</v>
      </c>
      <c r="E19">
        <v>9344</v>
      </c>
      <c r="F19" t="s">
        <v>15</v>
      </c>
      <c r="G19" t="s">
        <v>101</v>
      </c>
      <c r="H19" t="s">
        <v>102</v>
      </c>
      <c r="I19">
        <v>24</v>
      </c>
      <c r="J19" s="1">
        <v>45048</v>
      </c>
      <c r="K19" t="s">
        <v>103</v>
      </c>
    </row>
    <row r="20" spans="1:11" x14ac:dyDescent="0.35">
      <c r="A20" t="s">
        <v>104</v>
      </c>
      <c r="B20" t="s">
        <v>105</v>
      </c>
      <c r="C20" t="s">
        <v>106</v>
      </c>
      <c r="D20" t="s">
        <v>21</v>
      </c>
      <c r="E20">
        <v>119661</v>
      </c>
      <c r="F20" t="s">
        <v>33</v>
      </c>
      <c r="G20" t="s">
        <v>107</v>
      </c>
      <c r="I20">
        <v>160</v>
      </c>
      <c r="J20" s="1">
        <v>35741</v>
      </c>
      <c r="K20" t="s">
        <v>17</v>
      </c>
    </row>
    <row r="21" spans="1:11" x14ac:dyDescent="0.35">
      <c r="A21" t="s">
        <v>108</v>
      </c>
      <c r="B21" t="s">
        <v>109</v>
      </c>
      <c r="C21" t="s">
        <v>110</v>
      </c>
      <c r="D21" t="s">
        <v>44</v>
      </c>
      <c r="E21">
        <v>146667</v>
      </c>
      <c r="F21" t="s">
        <v>15</v>
      </c>
      <c r="G21" t="s">
        <v>111</v>
      </c>
      <c r="I21">
        <v>560</v>
      </c>
      <c r="J21" t="s">
        <v>112</v>
      </c>
      <c r="K21" t="s">
        <v>23</v>
      </c>
    </row>
    <row r="22" spans="1:11" x14ac:dyDescent="0.35">
      <c r="A22" t="s">
        <v>113</v>
      </c>
      <c r="B22" t="s">
        <v>114</v>
      </c>
      <c r="C22" t="s">
        <v>115</v>
      </c>
      <c r="D22" t="s">
        <v>44</v>
      </c>
      <c r="E22">
        <v>314472</v>
      </c>
      <c r="F22" t="s">
        <v>33</v>
      </c>
      <c r="G22" t="s">
        <v>116</v>
      </c>
      <c r="I22">
        <v>448</v>
      </c>
      <c r="J22" s="1">
        <v>43984</v>
      </c>
      <c r="K22" t="s">
        <v>23</v>
      </c>
    </row>
    <row r="23" spans="1:11" x14ac:dyDescent="0.35">
      <c r="A23" t="s">
        <v>117</v>
      </c>
      <c r="B23" t="s">
        <v>118</v>
      </c>
      <c r="C23" t="s">
        <v>119</v>
      </c>
      <c r="D23" t="s">
        <v>44</v>
      </c>
      <c r="E23">
        <v>15400</v>
      </c>
      <c r="F23" t="s">
        <v>33</v>
      </c>
      <c r="G23" t="s">
        <v>120</v>
      </c>
      <c r="I23">
        <v>196</v>
      </c>
      <c r="J23" s="1">
        <v>44760</v>
      </c>
      <c r="K23" t="s">
        <v>121</v>
      </c>
    </row>
    <row r="24" spans="1:11" x14ac:dyDescent="0.35">
      <c r="A24" t="s">
        <v>122</v>
      </c>
      <c r="B24" t="s">
        <v>123</v>
      </c>
      <c r="C24" t="s">
        <v>124</v>
      </c>
      <c r="D24" t="s">
        <v>21</v>
      </c>
      <c r="E24">
        <v>13081</v>
      </c>
      <c r="F24" t="s">
        <v>15</v>
      </c>
      <c r="G24" t="s">
        <v>125</v>
      </c>
      <c r="H24" t="s">
        <v>126</v>
      </c>
      <c r="I24">
        <v>224</v>
      </c>
      <c r="J24" t="s">
        <v>40</v>
      </c>
      <c r="K24" t="s">
        <v>81</v>
      </c>
    </row>
    <row r="25" spans="1:11" x14ac:dyDescent="0.35">
      <c r="A25" t="s">
        <v>127</v>
      </c>
      <c r="B25" t="s">
        <v>128</v>
      </c>
      <c r="C25" t="s">
        <v>129</v>
      </c>
      <c r="D25" t="s">
        <v>77</v>
      </c>
      <c r="E25">
        <v>80263</v>
      </c>
      <c r="F25" t="s">
        <v>78</v>
      </c>
      <c r="G25" t="s">
        <v>130</v>
      </c>
      <c r="H25" t="s">
        <v>131</v>
      </c>
      <c r="I25">
        <v>28</v>
      </c>
      <c r="J25" s="1">
        <v>42066</v>
      </c>
      <c r="K25" t="s">
        <v>81</v>
      </c>
    </row>
    <row r="26" spans="1:11" x14ac:dyDescent="0.35">
      <c r="A26" t="s">
        <v>132</v>
      </c>
      <c r="B26" t="s">
        <v>133</v>
      </c>
      <c r="C26" t="s">
        <v>134</v>
      </c>
      <c r="D26" t="s">
        <v>14</v>
      </c>
      <c r="E26">
        <v>11089</v>
      </c>
      <c r="F26" t="s">
        <v>15</v>
      </c>
      <c r="G26" t="s">
        <v>135</v>
      </c>
      <c r="H26" t="s">
        <v>136</v>
      </c>
      <c r="I26">
        <v>240</v>
      </c>
      <c r="J26" t="s">
        <v>137</v>
      </c>
      <c r="K26" t="s">
        <v>138</v>
      </c>
    </row>
    <row r="27" spans="1:11" x14ac:dyDescent="0.35">
      <c r="A27" t="s">
        <v>139</v>
      </c>
      <c r="B27" t="s">
        <v>140</v>
      </c>
      <c r="C27" t="s">
        <v>141</v>
      </c>
      <c r="D27" t="s">
        <v>27</v>
      </c>
      <c r="E27">
        <v>232211</v>
      </c>
      <c r="F27" t="s">
        <v>33</v>
      </c>
      <c r="G27" t="s">
        <v>142</v>
      </c>
      <c r="I27">
        <v>570</v>
      </c>
      <c r="J27" t="s">
        <v>143</v>
      </c>
      <c r="K27" t="s">
        <v>23</v>
      </c>
    </row>
    <row r="28" spans="1:11" x14ac:dyDescent="0.35">
      <c r="A28" t="s">
        <v>144</v>
      </c>
      <c r="B28" t="s">
        <v>145</v>
      </c>
      <c r="C28" t="s">
        <v>146</v>
      </c>
      <c r="D28" t="s">
        <v>44</v>
      </c>
      <c r="E28">
        <v>94536</v>
      </c>
      <c r="F28" t="s">
        <v>15</v>
      </c>
      <c r="G28" t="s">
        <v>147</v>
      </c>
      <c r="I28">
        <v>736</v>
      </c>
      <c r="J28" t="s">
        <v>148</v>
      </c>
      <c r="K28" t="s">
        <v>23</v>
      </c>
    </row>
    <row r="29" spans="1:11" x14ac:dyDescent="0.35">
      <c r="A29" t="s">
        <v>149</v>
      </c>
      <c r="B29" t="s">
        <v>150</v>
      </c>
      <c r="C29" t="s">
        <v>151</v>
      </c>
      <c r="D29" t="s">
        <v>77</v>
      </c>
      <c r="E29">
        <v>55794</v>
      </c>
      <c r="F29" t="s">
        <v>78</v>
      </c>
      <c r="G29" t="s">
        <v>152</v>
      </c>
      <c r="H29" t="s">
        <v>80</v>
      </c>
      <c r="I29">
        <v>24</v>
      </c>
      <c r="J29" s="1">
        <v>35323</v>
      </c>
      <c r="K29" t="s">
        <v>81</v>
      </c>
    </row>
    <row r="30" spans="1:11" x14ac:dyDescent="0.35">
      <c r="A30" t="s">
        <v>153</v>
      </c>
      <c r="B30" t="s">
        <v>154</v>
      </c>
      <c r="C30" t="s">
        <v>155</v>
      </c>
      <c r="D30" t="s">
        <v>77</v>
      </c>
      <c r="E30">
        <v>13217</v>
      </c>
      <c r="F30" t="s">
        <v>15</v>
      </c>
      <c r="G30" t="s">
        <v>156</v>
      </c>
      <c r="I30">
        <v>256</v>
      </c>
      <c r="J30" t="s">
        <v>157</v>
      </c>
      <c r="K30" t="s">
        <v>158</v>
      </c>
    </row>
    <row r="31" spans="1:11" x14ac:dyDescent="0.35">
      <c r="A31" t="s">
        <v>159</v>
      </c>
      <c r="B31" t="s">
        <v>160</v>
      </c>
      <c r="C31" t="s">
        <v>161</v>
      </c>
      <c r="D31" t="s">
        <v>77</v>
      </c>
      <c r="E31">
        <v>14622</v>
      </c>
      <c r="F31" t="s">
        <v>78</v>
      </c>
      <c r="G31" t="s">
        <v>162</v>
      </c>
      <c r="H31" t="s">
        <v>131</v>
      </c>
      <c r="I31">
        <v>24</v>
      </c>
      <c r="J31" s="1">
        <v>43837</v>
      </c>
      <c r="K31" t="s">
        <v>81</v>
      </c>
    </row>
    <row r="32" spans="1:11" x14ac:dyDescent="0.35">
      <c r="A32" t="s">
        <v>163</v>
      </c>
      <c r="B32" t="s">
        <v>164</v>
      </c>
      <c r="C32" t="s">
        <v>165</v>
      </c>
      <c r="D32" t="s">
        <v>27</v>
      </c>
      <c r="E32">
        <v>60311</v>
      </c>
      <c r="F32" t="s">
        <v>15</v>
      </c>
      <c r="G32" t="s">
        <v>166</v>
      </c>
      <c r="I32">
        <v>272</v>
      </c>
      <c r="J32" t="s">
        <v>167</v>
      </c>
      <c r="K32" t="s">
        <v>168</v>
      </c>
    </row>
    <row r="33" spans="1:11" x14ac:dyDescent="0.35">
      <c r="A33" t="s">
        <v>169</v>
      </c>
      <c r="B33" t="s">
        <v>170</v>
      </c>
      <c r="C33" t="s">
        <v>171</v>
      </c>
      <c r="D33" t="s">
        <v>21</v>
      </c>
      <c r="E33">
        <v>106198</v>
      </c>
      <c r="F33" t="s">
        <v>33</v>
      </c>
      <c r="G33" t="s">
        <v>172</v>
      </c>
      <c r="I33">
        <v>336</v>
      </c>
      <c r="J33" t="s">
        <v>46</v>
      </c>
      <c r="K33" t="s">
        <v>173</v>
      </c>
    </row>
    <row r="34" spans="1:11" x14ac:dyDescent="0.35">
      <c r="A34" t="s">
        <v>174</v>
      </c>
      <c r="B34" t="s">
        <v>175</v>
      </c>
      <c r="C34" t="s">
        <v>84</v>
      </c>
      <c r="D34" t="s">
        <v>38</v>
      </c>
      <c r="E34">
        <v>39574</v>
      </c>
      <c r="F34" t="s">
        <v>15</v>
      </c>
      <c r="G34" t="s">
        <v>176</v>
      </c>
      <c r="H34" t="s">
        <v>177</v>
      </c>
      <c r="I34">
        <v>352</v>
      </c>
      <c r="J34" t="s">
        <v>178</v>
      </c>
      <c r="K34" t="s">
        <v>30</v>
      </c>
    </row>
    <row r="35" spans="1:11" x14ac:dyDescent="0.35">
      <c r="A35" t="s">
        <v>179</v>
      </c>
      <c r="B35" t="s">
        <v>180</v>
      </c>
      <c r="C35" t="s">
        <v>181</v>
      </c>
      <c r="D35" t="s">
        <v>77</v>
      </c>
      <c r="E35">
        <v>53602</v>
      </c>
      <c r="F35" t="s">
        <v>15</v>
      </c>
      <c r="G35" t="s">
        <v>182</v>
      </c>
      <c r="H35" t="s">
        <v>183</v>
      </c>
      <c r="I35">
        <v>56</v>
      </c>
      <c r="J35" s="1">
        <v>32895</v>
      </c>
      <c r="K35" t="s">
        <v>81</v>
      </c>
    </row>
    <row r="36" spans="1:11" x14ac:dyDescent="0.35">
      <c r="A36" t="s">
        <v>184</v>
      </c>
      <c r="B36" t="s">
        <v>185</v>
      </c>
      <c r="C36" t="s">
        <v>186</v>
      </c>
      <c r="D36" t="s">
        <v>44</v>
      </c>
      <c r="E36">
        <v>88321</v>
      </c>
      <c r="F36" t="s">
        <v>78</v>
      </c>
      <c r="G36" t="s">
        <v>187</v>
      </c>
      <c r="H36" t="s">
        <v>80</v>
      </c>
      <c r="I36">
        <v>220</v>
      </c>
      <c r="J36" s="1">
        <v>43215</v>
      </c>
      <c r="K36" t="s">
        <v>81</v>
      </c>
    </row>
    <row r="37" spans="1:11" x14ac:dyDescent="0.35">
      <c r="A37" t="s">
        <v>188</v>
      </c>
      <c r="B37" t="s">
        <v>189</v>
      </c>
      <c r="C37" t="s">
        <v>190</v>
      </c>
      <c r="D37" t="s">
        <v>191</v>
      </c>
      <c r="E37">
        <v>60754</v>
      </c>
      <c r="F37" t="s">
        <v>33</v>
      </c>
      <c r="G37" t="s">
        <v>192</v>
      </c>
      <c r="I37">
        <v>400</v>
      </c>
      <c r="J37" s="1">
        <v>43770</v>
      </c>
      <c r="K37" t="s">
        <v>23</v>
      </c>
    </row>
    <row r="38" spans="1:11" x14ac:dyDescent="0.35">
      <c r="A38" t="s">
        <v>193</v>
      </c>
      <c r="B38" t="s">
        <v>194</v>
      </c>
      <c r="C38" t="s">
        <v>195</v>
      </c>
      <c r="D38" t="s">
        <v>77</v>
      </c>
      <c r="E38">
        <v>31124</v>
      </c>
      <c r="F38" t="s">
        <v>78</v>
      </c>
      <c r="G38" t="s">
        <v>196</v>
      </c>
      <c r="H38" t="s">
        <v>131</v>
      </c>
      <c r="I38">
        <v>34</v>
      </c>
      <c r="J38" t="s">
        <v>197</v>
      </c>
      <c r="K38" t="s">
        <v>103</v>
      </c>
    </row>
    <row r="39" spans="1:11" x14ac:dyDescent="0.35">
      <c r="A39" t="s">
        <v>198</v>
      </c>
      <c r="B39" t="s">
        <v>199</v>
      </c>
      <c r="C39" t="s">
        <v>200</v>
      </c>
      <c r="D39" t="s">
        <v>38</v>
      </c>
      <c r="E39">
        <v>129310</v>
      </c>
      <c r="F39" t="s">
        <v>15</v>
      </c>
      <c r="G39" t="s">
        <v>201</v>
      </c>
      <c r="I39">
        <v>416</v>
      </c>
      <c r="J39" t="s">
        <v>202</v>
      </c>
      <c r="K39" t="s">
        <v>23</v>
      </c>
    </row>
    <row r="40" spans="1:11" x14ac:dyDescent="0.35">
      <c r="A40" t="s">
        <v>203</v>
      </c>
      <c r="B40" t="s">
        <v>204</v>
      </c>
      <c r="C40" t="s">
        <v>205</v>
      </c>
      <c r="D40" t="s">
        <v>14</v>
      </c>
      <c r="E40">
        <v>26464</v>
      </c>
      <c r="F40" t="s">
        <v>15</v>
      </c>
      <c r="G40" t="s">
        <v>28</v>
      </c>
      <c r="H40" t="s">
        <v>80</v>
      </c>
      <c r="I40">
        <v>24</v>
      </c>
      <c r="J40" s="1">
        <v>41305</v>
      </c>
      <c r="K40" t="s">
        <v>81</v>
      </c>
    </row>
    <row r="41" spans="1:11" x14ac:dyDescent="0.35">
      <c r="A41" t="s">
        <v>206</v>
      </c>
      <c r="B41" t="s">
        <v>207</v>
      </c>
      <c r="C41" t="s">
        <v>208</v>
      </c>
      <c r="D41" t="s">
        <v>77</v>
      </c>
      <c r="E41">
        <v>32274</v>
      </c>
      <c r="F41" t="s">
        <v>15</v>
      </c>
      <c r="G41" t="s">
        <v>209</v>
      </c>
      <c r="H41" t="s">
        <v>210</v>
      </c>
      <c r="I41">
        <v>36</v>
      </c>
      <c r="J41" s="1">
        <v>42241</v>
      </c>
      <c r="K41" t="s">
        <v>81</v>
      </c>
    </row>
    <row r="42" spans="1:11" x14ac:dyDescent="0.35">
      <c r="A42" t="s">
        <v>211</v>
      </c>
      <c r="B42" t="s">
        <v>212</v>
      </c>
      <c r="C42" t="s">
        <v>20</v>
      </c>
      <c r="D42" t="s">
        <v>44</v>
      </c>
      <c r="E42">
        <v>5028</v>
      </c>
      <c r="F42" t="s">
        <v>15</v>
      </c>
      <c r="G42" t="s">
        <v>213</v>
      </c>
      <c r="I42">
        <v>528</v>
      </c>
      <c r="J42" t="s">
        <v>214</v>
      </c>
      <c r="K42" t="s">
        <v>23</v>
      </c>
    </row>
    <row r="43" spans="1:11" x14ac:dyDescent="0.35">
      <c r="A43" t="s">
        <v>215</v>
      </c>
      <c r="B43" t="s">
        <v>216</v>
      </c>
      <c r="C43" t="s">
        <v>217</v>
      </c>
      <c r="D43" t="s">
        <v>38</v>
      </c>
      <c r="E43">
        <v>398561</v>
      </c>
      <c r="F43" t="s">
        <v>33</v>
      </c>
      <c r="G43" t="s">
        <v>218</v>
      </c>
      <c r="I43">
        <v>368</v>
      </c>
      <c r="J43" s="1">
        <v>44320</v>
      </c>
      <c r="K43" t="s">
        <v>73</v>
      </c>
    </row>
    <row r="44" spans="1:11" x14ac:dyDescent="0.35">
      <c r="A44" t="s">
        <v>219</v>
      </c>
      <c r="B44" t="s">
        <v>220</v>
      </c>
      <c r="C44" t="s">
        <v>221</v>
      </c>
      <c r="D44" t="s">
        <v>44</v>
      </c>
      <c r="E44">
        <v>129211</v>
      </c>
      <c r="F44" t="s">
        <v>78</v>
      </c>
      <c r="G44" t="s">
        <v>222</v>
      </c>
      <c r="I44">
        <v>368</v>
      </c>
      <c r="J44" s="1">
        <v>44684</v>
      </c>
      <c r="K44" t="s">
        <v>73</v>
      </c>
    </row>
    <row r="45" spans="1:11" x14ac:dyDescent="0.35">
      <c r="A45" t="s">
        <v>223</v>
      </c>
      <c r="B45" t="s">
        <v>224</v>
      </c>
      <c r="C45" t="s">
        <v>225</v>
      </c>
      <c r="D45" t="s">
        <v>21</v>
      </c>
      <c r="E45">
        <v>68563</v>
      </c>
      <c r="F45" t="s">
        <v>33</v>
      </c>
      <c r="G45" t="s">
        <v>226</v>
      </c>
      <c r="I45">
        <v>256</v>
      </c>
      <c r="J45" s="1">
        <v>44082</v>
      </c>
      <c r="K45" t="s">
        <v>173</v>
      </c>
    </row>
    <row r="46" spans="1:11" x14ac:dyDescent="0.35">
      <c r="A46" t="s">
        <v>227</v>
      </c>
      <c r="B46" t="s">
        <v>228</v>
      </c>
      <c r="C46" t="s">
        <v>229</v>
      </c>
      <c r="D46" t="s">
        <v>21</v>
      </c>
      <c r="E46">
        <v>6331</v>
      </c>
      <c r="F46" t="s">
        <v>33</v>
      </c>
      <c r="G46" t="s">
        <v>230</v>
      </c>
      <c r="I46">
        <v>138</v>
      </c>
      <c r="J46" t="s">
        <v>231</v>
      </c>
      <c r="K46" t="s">
        <v>57</v>
      </c>
    </row>
    <row r="47" spans="1:11" x14ac:dyDescent="0.35">
      <c r="A47" t="s">
        <v>232</v>
      </c>
      <c r="B47" t="s">
        <v>233</v>
      </c>
      <c r="C47" t="s">
        <v>234</v>
      </c>
      <c r="D47" t="s">
        <v>14</v>
      </c>
      <c r="E47">
        <v>17084</v>
      </c>
      <c r="F47" t="s">
        <v>15</v>
      </c>
      <c r="G47" t="s">
        <v>235</v>
      </c>
      <c r="I47">
        <v>384</v>
      </c>
      <c r="J47" t="s">
        <v>236</v>
      </c>
      <c r="K47" t="s">
        <v>30</v>
      </c>
    </row>
    <row r="48" spans="1:11" x14ac:dyDescent="0.35">
      <c r="A48" t="s">
        <v>237</v>
      </c>
      <c r="B48" t="s">
        <v>238</v>
      </c>
      <c r="C48" t="s">
        <v>239</v>
      </c>
      <c r="D48" t="s">
        <v>14</v>
      </c>
      <c r="E48">
        <v>9137</v>
      </c>
      <c r="F48" t="s">
        <v>33</v>
      </c>
      <c r="G48" t="s">
        <v>240</v>
      </c>
      <c r="H48" t="s">
        <v>241</v>
      </c>
      <c r="I48">
        <v>32</v>
      </c>
      <c r="J48" t="s">
        <v>242</v>
      </c>
      <c r="K48" t="s">
        <v>103</v>
      </c>
    </row>
    <row r="49" spans="1:11" x14ac:dyDescent="0.35">
      <c r="A49" t="s">
        <v>243</v>
      </c>
      <c r="B49" t="s">
        <v>244</v>
      </c>
      <c r="C49" t="s">
        <v>245</v>
      </c>
      <c r="D49" t="s">
        <v>191</v>
      </c>
      <c r="E49">
        <v>142671</v>
      </c>
      <c r="F49" t="s">
        <v>33</v>
      </c>
      <c r="G49" t="s">
        <v>85</v>
      </c>
      <c r="I49">
        <v>352</v>
      </c>
      <c r="J49" t="s">
        <v>246</v>
      </c>
      <c r="K49" t="s">
        <v>23</v>
      </c>
    </row>
    <row r="50" spans="1:11" x14ac:dyDescent="0.35">
      <c r="A50" t="s">
        <v>247</v>
      </c>
      <c r="B50" t="s">
        <v>248</v>
      </c>
      <c r="C50" t="s">
        <v>249</v>
      </c>
      <c r="D50" t="s">
        <v>250</v>
      </c>
      <c r="E50">
        <v>113454</v>
      </c>
      <c r="F50" t="s">
        <v>33</v>
      </c>
      <c r="G50" t="s">
        <v>251</v>
      </c>
      <c r="I50">
        <v>448</v>
      </c>
      <c r="J50" t="s">
        <v>252</v>
      </c>
      <c r="K50" t="s">
        <v>23</v>
      </c>
    </row>
    <row r="51" spans="1:11" x14ac:dyDescent="0.35">
      <c r="A51" t="s">
        <v>253</v>
      </c>
      <c r="B51" t="s">
        <v>254</v>
      </c>
      <c r="C51" t="s">
        <v>141</v>
      </c>
      <c r="D51" t="s">
        <v>38</v>
      </c>
      <c r="E51">
        <v>119095</v>
      </c>
      <c r="F51" t="s">
        <v>33</v>
      </c>
      <c r="G51" t="s">
        <v>255</v>
      </c>
      <c r="I51">
        <v>592</v>
      </c>
      <c r="J51" t="s">
        <v>256</v>
      </c>
      <c r="K51" t="s">
        <v>23</v>
      </c>
    </row>
    <row r="52" spans="1:11" x14ac:dyDescent="0.35">
      <c r="A52" t="s">
        <v>257</v>
      </c>
      <c r="B52" t="s">
        <v>258</v>
      </c>
      <c r="C52" t="s">
        <v>60</v>
      </c>
      <c r="D52" t="s">
        <v>21</v>
      </c>
      <c r="E52">
        <v>347742</v>
      </c>
      <c r="F52" t="s">
        <v>33</v>
      </c>
      <c r="G52" t="s">
        <v>68</v>
      </c>
      <c r="I52">
        <v>335</v>
      </c>
      <c r="J52" t="s">
        <v>259</v>
      </c>
      <c r="K52" t="s">
        <v>23</v>
      </c>
    </row>
    <row r="53" spans="1:11" x14ac:dyDescent="0.35">
      <c r="A53" t="s">
        <v>260</v>
      </c>
      <c r="B53" t="s">
        <v>261</v>
      </c>
      <c r="C53" t="s">
        <v>115</v>
      </c>
      <c r="D53" t="s">
        <v>14</v>
      </c>
      <c r="E53">
        <v>287325</v>
      </c>
      <c r="F53" t="s">
        <v>33</v>
      </c>
      <c r="G53" t="s">
        <v>262</v>
      </c>
      <c r="I53">
        <v>656</v>
      </c>
      <c r="J53" s="1">
        <v>43984</v>
      </c>
      <c r="K53" t="s">
        <v>23</v>
      </c>
    </row>
    <row r="54" spans="1:11" x14ac:dyDescent="0.35">
      <c r="A54" t="s">
        <v>263</v>
      </c>
      <c r="B54" t="s">
        <v>264</v>
      </c>
      <c r="C54" t="s">
        <v>265</v>
      </c>
      <c r="D54" t="s">
        <v>14</v>
      </c>
      <c r="E54">
        <v>7876</v>
      </c>
      <c r="F54" t="s">
        <v>15</v>
      </c>
      <c r="G54" t="s">
        <v>266</v>
      </c>
      <c r="I54">
        <v>496</v>
      </c>
      <c r="J54" t="s">
        <v>267</v>
      </c>
      <c r="K54" t="s">
        <v>268</v>
      </c>
    </row>
    <row r="55" spans="1:11" x14ac:dyDescent="0.35">
      <c r="A55" t="s">
        <v>269</v>
      </c>
      <c r="B55" t="s">
        <v>270</v>
      </c>
      <c r="C55" t="s">
        <v>271</v>
      </c>
      <c r="D55" t="s">
        <v>21</v>
      </c>
      <c r="E55">
        <v>22689</v>
      </c>
      <c r="F55" t="s">
        <v>15</v>
      </c>
      <c r="G55" t="s">
        <v>272</v>
      </c>
      <c r="I55">
        <v>688</v>
      </c>
      <c r="J55" t="s">
        <v>273</v>
      </c>
      <c r="K55" t="s">
        <v>30</v>
      </c>
    </row>
    <row r="56" spans="1:11" x14ac:dyDescent="0.35">
      <c r="A56" t="s">
        <v>274</v>
      </c>
      <c r="B56" t="s">
        <v>275</v>
      </c>
      <c r="C56" t="s">
        <v>276</v>
      </c>
      <c r="D56" t="s">
        <v>44</v>
      </c>
      <c r="E56">
        <v>23034</v>
      </c>
      <c r="F56" t="s">
        <v>33</v>
      </c>
      <c r="G56" t="s">
        <v>277</v>
      </c>
      <c r="I56">
        <v>352</v>
      </c>
      <c r="J56" t="s">
        <v>278</v>
      </c>
      <c r="K56" t="s">
        <v>173</v>
      </c>
    </row>
    <row r="57" spans="1:11" x14ac:dyDescent="0.35">
      <c r="A57" t="s">
        <v>279</v>
      </c>
      <c r="B57" t="s">
        <v>280</v>
      </c>
      <c r="C57" t="s">
        <v>281</v>
      </c>
      <c r="D57" t="s">
        <v>38</v>
      </c>
      <c r="E57">
        <v>163368</v>
      </c>
      <c r="F57" t="s">
        <v>33</v>
      </c>
      <c r="G57" t="s">
        <v>282</v>
      </c>
      <c r="I57">
        <v>627</v>
      </c>
      <c r="J57" s="1">
        <v>44421</v>
      </c>
      <c r="K57" t="s">
        <v>73</v>
      </c>
    </row>
    <row r="58" spans="1:11" x14ac:dyDescent="0.35">
      <c r="A58" t="s">
        <v>283</v>
      </c>
      <c r="B58" t="s">
        <v>284</v>
      </c>
      <c r="C58" t="s">
        <v>285</v>
      </c>
      <c r="D58" t="s">
        <v>14</v>
      </c>
      <c r="E58">
        <v>18031</v>
      </c>
      <c r="F58" t="s">
        <v>15</v>
      </c>
      <c r="G58" t="s">
        <v>286</v>
      </c>
      <c r="H58" t="s">
        <v>210</v>
      </c>
      <c r="I58">
        <v>40</v>
      </c>
      <c r="J58" t="s">
        <v>287</v>
      </c>
      <c r="K58" t="s">
        <v>81</v>
      </c>
    </row>
    <row r="59" spans="1:11" x14ac:dyDescent="0.35">
      <c r="A59" t="s">
        <v>288</v>
      </c>
      <c r="B59" t="s">
        <v>289</v>
      </c>
      <c r="C59" t="s">
        <v>60</v>
      </c>
      <c r="D59" t="s">
        <v>44</v>
      </c>
      <c r="E59">
        <v>165631</v>
      </c>
      <c r="F59" t="s">
        <v>33</v>
      </c>
      <c r="G59" t="s">
        <v>290</v>
      </c>
      <c r="I59">
        <v>336</v>
      </c>
      <c r="J59" t="s">
        <v>291</v>
      </c>
      <c r="K59" t="s">
        <v>23</v>
      </c>
    </row>
    <row r="60" spans="1:11" x14ac:dyDescent="0.35">
      <c r="A60" t="s">
        <v>292</v>
      </c>
      <c r="B60" t="s">
        <v>293</v>
      </c>
      <c r="C60" t="s">
        <v>294</v>
      </c>
      <c r="D60" t="s">
        <v>14</v>
      </c>
      <c r="E60">
        <v>75734</v>
      </c>
      <c r="F60" t="s">
        <v>78</v>
      </c>
      <c r="G60" t="s">
        <v>295</v>
      </c>
      <c r="H60" t="s">
        <v>131</v>
      </c>
      <c r="I60">
        <v>34</v>
      </c>
      <c r="J60" t="s">
        <v>296</v>
      </c>
      <c r="K60" t="s">
        <v>81</v>
      </c>
    </row>
    <row r="61" spans="1:11" x14ac:dyDescent="0.35">
      <c r="A61" t="s">
        <v>297</v>
      </c>
      <c r="B61" t="s">
        <v>298</v>
      </c>
      <c r="C61" t="s">
        <v>299</v>
      </c>
      <c r="D61" t="s">
        <v>191</v>
      </c>
      <c r="E61">
        <v>107168</v>
      </c>
      <c r="F61" t="s">
        <v>15</v>
      </c>
      <c r="G61" t="s">
        <v>300</v>
      </c>
      <c r="I61">
        <v>400</v>
      </c>
      <c r="J61" t="s">
        <v>301</v>
      </c>
      <c r="K61" t="s">
        <v>23</v>
      </c>
    </row>
    <row r="62" spans="1:11" x14ac:dyDescent="0.35">
      <c r="A62" t="s">
        <v>302</v>
      </c>
      <c r="B62" t="s">
        <v>303</v>
      </c>
      <c r="C62" t="s">
        <v>245</v>
      </c>
      <c r="D62" t="s">
        <v>38</v>
      </c>
      <c r="E62">
        <v>108327</v>
      </c>
      <c r="F62" t="s">
        <v>33</v>
      </c>
      <c r="G62" t="s">
        <v>304</v>
      </c>
      <c r="I62">
        <v>448</v>
      </c>
      <c r="J62" t="s">
        <v>246</v>
      </c>
      <c r="K62" t="s">
        <v>305</v>
      </c>
    </row>
    <row r="63" spans="1:11" x14ac:dyDescent="0.35">
      <c r="A63" t="s">
        <v>306</v>
      </c>
      <c r="B63" t="s">
        <v>307</v>
      </c>
      <c r="C63" t="s">
        <v>308</v>
      </c>
      <c r="D63" t="s">
        <v>77</v>
      </c>
      <c r="E63">
        <v>41314</v>
      </c>
      <c r="F63" t="s">
        <v>78</v>
      </c>
      <c r="G63" t="s">
        <v>309</v>
      </c>
      <c r="H63" t="s">
        <v>80</v>
      </c>
      <c r="I63">
        <v>36</v>
      </c>
      <c r="J63" s="1">
        <v>40909</v>
      </c>
      <c r="K63" t="s">
        <v>81</v>
      </c>
    </row>
    <row r="64" spans="1:11" x14ac:dyDescent="0.35">
      <c r="A64" t="s">
        <v>310</v>
      </c>
      <c r="B64" t="s">
        <v>311</v>
      </c>
      <c r="C64" t="s">
        <v>312</v>
      </c>
      <c r="D64" t="s">
        <v>38</v>
      </c>
      <c r="E64">
        <v>109707</v>
      </c>
      <c r="F64" t="s">
        <v>15</v>
      </c>
      <c r="G64" t="s">
        <v>313</v>
      </c>
      <c r="I64">
        <v>400</v>
      </c>
      <c r="J64" t="s">
        <v>314</v>
      </c>
      <c r="K64" t="s">
        <v>23</v>
      </c>
    </row>
    <row r="65" spans="1:11" x14ac:dyDescent="0.35">
      <c r="A65" t="s">
        <v>315</v>
      </c>
      <c r="B65" t="s">
        <v>316</v>
      </c>
      <c r="C65" t="s">
        <v>317</v>
      </c>
      <c r="D65" t="s">
        <v>14</v>
      </c>
      <c r="E65">
        <v>5751</v>
      </c>
      <c r="F65" t="s">
        <v>15</v>
      </c>
      <c r="G65" t="s">
        <v>318</v>
      </c>
      <c r="I65">
        <v>400</v>
      </c>
      <c r="J65" t="s">
        <v>319</v>
      </c>
      <c r="K65" t="s">
        <v>51</v>
      </c>
    </row>
    <row r="66" spans="1:11" x14ac:dyDescent="0.35">
      <c r="A66" t="s">
        <v>320</v>
      </c>
      <c r="B66" t="s">
        <v>321</v>
      </c>
      <c r="C66" t="s">
        <v>322</v>
      </c>
      <c r="D66" t="s">
        <v>27</v>
      </c>
      <c r="E66">
        <v>86622</v>
      </c>
      <c r="F66" t="s">
        <v>33</v>
      </c>
      <c r="G66" t="s">
        <v>323</v>
      </c>
      <c r="I66">
        <v>832</v>
      </c>
      <c r="J66" t="s">
        <v>324</v>
      </c>
      <c r="K66" t="s">
        <v>23</v>
      </c>
    </row>
    <row r="67" spans="1:11" x14ac:dyDescent="0.35">
      <c r="A67" t="s">
        <v>325</v>
      </c>
      <c r="B67" t="s">
        <v>326</v>
      </c>
      <c r="C67" t="s">
        <v>327</v>
      </c>
      <c r="D67" t="s">
        <v>14</v>
      </c>
      <c r="E67">
        <v>18227</v>
      </c>
      <c r="F67" t="s">
        <v>33</v>
      </c>
      <c r="G67" t="s">
        <v>328</v>
      </c>
      <c r="I67">
        <v>272</v>
      </c>
      <c r="J67" t="s">
        <v>329</v>
      </c>
      <c r="K67" t="s">
        <v>51</v>
      </c>
    </row>
    <row r="68" spans="1:11" x14ac:dyDescent="0.35">
      <c r="A68" t="s">
        <v>330</v>
      </c>
      <c r="B68" t="s">
        <v>331</v>
      </c>
      <c r="C68" t="s">
        <v>332</v>
      </c>
      <c r="D68" t="s">
        <v>27</v>
      </c>
      <c r="E68">
        <v>43046</v>
      </c>
      <c r="F68" t="s">
        <v>15</v>
      </c>
      <c r="G68" t="s">
        <v>333</v>
      </c>
      <c r="I68">
        <v>464</v>
      </c>
      <c r="J68" t="s">
        <v>334</v>
      </c>
      <c r="K68" t="s">
        <v>73</v>
      </c>
    </row>
    <row r="69" spans="1:11" x14ac:dyDescent="0.35">
      <c r="A69" t="s">
        <v>335</v>
      </c>
      <c r="B69" t="s">
        <v>336</v>
      </c>
      <c r="C69" t="s">
        <v>337</v>
      </c>
      <c r="D69" t="s">
        <v>38</v>
      </c>
      <c r="E69">
        <v>73210</v>
      </c>
      <c r="F69" t="s">
        <v>15</v>
      </c>
      <c r="G69" t="s">
        <v>338</v>
      </c>
      <c r="I69">
        <v>400</v>
      </c>
      <c r="J69" s="1">
        <v>45146</v>
      </c>
      <c r="K69" t="s">
        <v>23</v>
      </c>
    </row>
    <row r="70" spans="1:11" x14ac:dyDescent="0.35">
      <c r="A70" t="s">
        <v>339</v>
      </c>
      <c r="B70" t="s">
        <v>340</v>
      </c>
      <c r="C70" t="s">
        <v>341</v>
      </c>
      <c r="D70" t="s">
        <v>14</v>
      </c>
      <c r="E70">
        <v>32845</v>
      </c>
      <c r="F70" t="s">
        <v>342</v>
      </c>
      <c r="G70" t="s">
        <v>343</v>
      </c>
      <c r="H70" t="s">
        <v>344</v>
      </c>
      <c r="J70" s="1">
        <v>43160</v>
      </c>
      <c r="K70" t="s">
        <v>345</v>
      </c>
    </row>
    <row r="71" spans="1:11" x14ac:dyDescent="0.35">
      <c r="A71" t="s">
        <v>346</v>
      </c>
      <c r="B71" t="s">
        <v>347</v>
      </c>
      <c r="C71" t="s">
        <v>348</v>
      </c>
      <c r="D71" t="s">
        <v>14</v>
      </c>
      <c r="E71">
        <v>29360</v>
      </c>
      <c r="F71" t="s">
        <v>33</v>
      </c>
      <c r="G71" t="s">
        <v>349</v>
      </c>
      <c r="I71">
        <v>320</v>
      </c>
      <c r="J71" t="s">
        <v>350</v>
      </c>
      <c r="K71" t="s">
        <v>173</v>
      </c>
    </row>
    <row r="72" spans="1:11" x14ac:dyDescent="0.35">
      <c r="A72" t="s">
        <v>351</v>
      </c>
      <c r="B72" t="s">
        <v>352</v>
      </c>
      <c r="C72" t="s">
        <v>92</v>
      </c>
      <c r="D72" t="s">
        <v>38</v>
      </c>
      <c r="E72">
        <v>95715</v>
      </c>
      <c r="F72" t="s">
        <v>33</v>
      </c>
      <c r="G72" t="s">
        <v>353</v>
      </c>
      <c r="I72">
        <v>400</v>
      </c>
      <c r="J72" t="s">
        <v>354</v>
      </c>
      <c r="K72" t="s">
        <v>23</v>
      </c>
    </row>
    <row r="73" spans="1:11" x14ac:dyDescent="0.35">
      <c r="A73" t="s">
        <v>355</v>
      </c>
      <c r="B73" t="s">
        <v>356</v>
      </c>
      <c r="C73" t="s">
        <v>115</v>
      </c>
      <c r="D73" t="s">
        <v>14</v>
      </c>
      <c r="E73">
        <v>52380</v>
      </c>
      <c r="F73" t="s">
        <v>33</v>
      </c>
      <c r="G73" t="s">
        <v>357</v>
      </c>
      <c r="I73">
        <v>2896</v>
      </c>
      <c r="J73" s="1">
        <v>44866</v>
      </c>
      <c r="K73" t="s">
        <v>23</v>
      </c>
    </row>
    <row r="74" spans="1:11" x14ac:dyDescent="0.35">
      <c r="A74" t="s">
        <v>358</v>
      </c>
      <c r="B74" t="s">
        <v>359</v>
      </c>
      <c r="C74" t="s">
        <v>360</v>
      </c>
      <c r="D74" t="s">
        <v>21</v>
      </c>
      <c r="E74">
        <v>109703</v>
      </c>
      <c r="F74" t="s">
        <v>33</v>
      </c>
      <c r="G74" t="s">
        <v>361</v>
      </c>
      <c r="I74">
        <v>320</v>
      </c>
      <c r="J74" s="1">
        <v>36069</v>
      </c>
      <c r="K74" t="s">
        <v>17</v>
      </c>
    </row>
    <row r="75" spans="1:11" x14ac:dyDescent="0.35">
      <c r="A75" t="s">
        <v>362</v>
      </c>
      <c r="B75" t="s">
        <v>363</v>
      </c>
      <c r="C75" t="s">
        <v>364</v>
      </c>
      <c r="D75" t="s">
        <v>14</v>
      </c>
      <c r="E75">
        <v>25279</v>
      </c>
      <c r="F75" t="s">
        <v>15</v>
      </c>
      <c r="G75" t="s">
        <v>251</v>
      </c>
      <c r="H75" t="s">
        <v>126</v>
      </c>
      <c r="I75">
        <v>208</v>
      </c>
      <c r="J75" s="1">
        <v>43389</v>
      </c>
      <c r="K75" t="s">
        <v>158</v>
      </c>
    </row>
    <row r="76" spans="1:11" x14ac:dyDescent="0.35">
      <c r="A76" t="s">
        <v>365</v>
      </c>
      <c r="B76" t="s">
        <v>366</v>
      </c>
      <c r="C76" t="s">
        <v>367</v>
      </c>
      <c r="D76" t="s">
        <v>14</v>
      </c>
      <c r="E76">
        <v>127734</v>
      </c>
      <c r="F76" t="s">
        <v>15</v>
      </c>
      <c r="G76" t="s">
        <v>368</v>
      </c>
      <c r="H76" t="s">
        <v>136</v>
      </c>
      <c r="I76">
        <v>128</v>
      </c>
      <c r="J76" t="s">
        <v>369</v>
      </c>
      <c r="K76" t="s">
        <v>138</v>
      </c>
    </row>
    <row r="77" spans="1:11" x14ac:dyDescent="0.35">
      <c r="A77" t="s">
        <v>370</v>
      </c>
      <c r="B77" t="s">
        <v>371</v>
      </c>
      <c r="C77" t="s">
        <v>372</v>
      </c>
      <c r="D77" t="s">
        <v>14</v>
      </c>
      <c r="E77">
        <v>104512</v>
      </c>
      <c r="F77" t="s">
        <v>33</v>
      </c>
      <c r="G77" t="s">
        <v>373</v>
      </c>
      <c r="I77">
        <v>364</v>
      </c>
      <c r="J77" t="s">
        <v>374</v>
      </c>
      <c r="K77" t="s">
        <v>17</v>
      </c>
    </row>
    <row r="78" spans="1:11" x14ac:dyDescent="0.35">
      <c r="A78" t="s">
        <v>375</v>
      </c>
      <c r="B78" t="s">
        <v>376</v>
      </c>
      <c r="C78" t="s">
        <v>377</v>
      </c>
      <c r="D78" t="s">
        <v>14</v>
      </c>
      <c r="E78">
        <v>14746</v>
      </c>
      <c r="F78" t="s">
        <v>33</v>
      </c>
      <c r="G78" t="s">
        <v>378</v>
      </c>
      <c r="H78" t="s">
        <v>379</v>
      </c>
      <c r="I78">
        <v>928</v>
      </c>
      <c r="J78" t="s">
        <v>380</v>
      </c>
      <c r="K78" t="s">
        <v>23</v>
      </c>
    </row>
    <row r="79" spans="1:11" x14ac:dyDescent="0.35">
      <c r="A79" t="s">
        <v>381</v>
      </c>
      <c r="B79" t="s">
        <v>382</v>
      </c>
      <c r="C79" t="s">
        <v>383</v>
      </c>
      <c r="D79" t="s">
        <v>384</v>
      </c>
      <c r="E79">
        <v>72785</v>
      </c>
      <c r="F79" t="s">
        <v>15</v>
      </c>
      <c r="G79" t="s">
        <v>385</v>
      </c>
      <c r="I79">
        <v>352</v>
      </c>
      <c r="J79" t="s">
        <v>386</v>
      </c>
      <c r="K79" t="s">
        <v>73</v>
      </c>
    </row>
    <row r="80" spans="1:11" x14ac:dyDescent="0.35">
      <c r="A80" t="s">
        <v>387</v>
      </c>
      <c r="B80" t="s">
        <v>388</v>
      </c>
      <c r="C80" t="s">
        <v>389</v>
      </c>
      <c r="D80" t="s">
        <v>14</v>
      </c>
      <c r="E80">
        <v>20638</v>
      </c>
      <c r="F80" t="s">
        <v>15</v>
      </c>
      <c r="G80" t="s">
        <v>390</v>
      </c>
      <c r="H80" t="s">
        <v>241</v>
      </c>
      <c r="I80">
        <v>40</v>
      </c>
      <c r="J80" s="1">
        <v>41074</v>
      </c>
      <c r="K80" t="s">
        <v>81</v>
      </c>
    </row>
    <row r="81" spans="1:11" x14ac:dyDescent="0.35">
      <c r="A81" t="s">
        <v>391</v>
      </c>
      <c r="B81" t="s">
        <v>392</v>
      </c>
      <c r="C81" t="s">
        <v>393</v>
      </c>
      <c r="D81" t="s">
        <v>21</v>
      </c>
      <c r="E81">
        <v>396005</v>
      </c>
      <c r="F81" t="s">
        <v>33</v>
      </c>
      <c r="G81" t="s">
        <v>394</v>
      </c>
      <c r="I81">
        <v>608</v>
      </c>
      <c r="J81" t="s">
        <v>395</v>
      </c>
      <c r="K81" t="s">
        <v>23</v>
      </c>
    </row>
    <row r="82" spans="1:11" x14ac:dyDescent="0.35">
      <c r="A82" t="s">
        <v>396</v>
      </c>
      <c r="B82" t="s">
        <v>397</v>
      </c>
      <c r="C82" t="s">
        <v>398</v>
      </c>
      <c r="D82" t="s">
        <v>77</v>
      </c>
      <c r="E82">
        <v>65142</v>
      </c>
      <c r="F82" t="s">
        <v>33</v>
      </c>
      <c r="G82" t="s">
        <v>399</v>
      </c>
      <c r="H82" t="s">
        <v>400</v>
      </c>
      <c r="J82" t="s">
        <v>401</v>
      </c>
      <c r="K82" t="s">
        <v>81</v>
      </c>
    </row>
    <row r="83" spans="1:11" x14ac:dyDescent="0.35">
      <c r="A83" t="s">
        <v>402</v>
      </c>
      <c r="B83" t="s">
        <v>403</v>
      </c>
      <c r="C83" t="s">
        <v>404</v>
      </c>
      <c r="D83" t="s">
        <v>14</v>
      </c>
      <c r="E83">
        <v>27090</v>
      </c>
      <c r="F83" t="s">
        <v>33</v>
      </c>
      <c r="G83" t="s">
        <v>405</v>
      </c>
      <c r="I83">
        <v>216</v>
      </c>
      <c r="J83" t="s">
        <v>406</v>
      </c>
      <c r="K83" t="s">
        <v>17</v>
      </c>
    </row>
    <row r="84" spans="1:11" x14ac:dyDescent="0.35">
      <c r="A84" t="s">
        <v>407</v>
      </c>
      <c r="B84" t="s">
        <v>408</v>
      </c>
      <c r="C84" t="s">
        <v>409</v>
      </c>
      <c r="D84" t="s">
        <v>21</v>
      </c>
      <c r="E84">
        <v>14647</v>
      </c>
      <c r="F84" t="s">
        <v>33</v>
      </c>
      <c r="G84" t="s">
        <v>410</v>
      </c>
      <c r="I84">
        <v>200</v>
      </c>
      <c r="J84" t="s">
        <v>411</v>
      </c>
      <c r="K84" t="s">
        <v>173</v>
      </c>
    </row>
    <row r="85" spans="1:11" x14ac:dyDescent="0.35">
      <c r="A85" t="s">
        <v>412</v>
      </c>
      <c r="B85" t="s">
        <v>413</v>
      </c>
      <c r="C85" t="s">
        <v>115</v>
      </c>
      <c r="D85" t="s">
        <v>21</v>
      </c>
      <c r="E85">
        <v>269981</v>
      </c>
      <c r="F85" t="s">
        <v>33</v>
      </c>
      <c r="G85" t="s">
        <v>414</v>
      </c>
      <c r="I85">
        <v>736</v>
      </c>
      <c r="J85" s="1">
        <v>43984</v>
      </c>
      <c r="K85" t="s">
        <v>23</v>
      </c>
    </row>
    <row r="86" spans="1:11" x14ac:dyDescent="0.35">
      <c r="A86" t="s">
        <v>415</v>
      </c>
      <c r="B86" t="s">
        <v>416</v>
      </c>
      <c r="C86" t="s">
        <v>417</v>
      </c>
      <c r="D86" t="s">
        <v>27</v>
      </c>
      <c r="E86">
        <v>158416</v>
      </c>
      <c r="F86" t="s">
        <v>15</v>
      </c>
      <c r="G86" t="s">
        <v>418</v>
      </c>
      <c r="I86">
        <v>224</v>
      </c>
      <c r="J86" t="s">
        <v>419</v>
      </c>
      <c r="K86" t="s">
        <v>17</v>
      </c>
    </row>
    <row r="87" spans="1:11" x14ac:dyDescent="0.35">
      <c r="A87" t="s">
        <v>420</v>
      </c>
      <c r="B87" t="s">
        <v>421</v>
      </c>
      <c r="C87" t="s">
        <v>422</v>
      </c>
      <c r="D87" t="s">
        <v>21</v>
      </c>
      <c r="E87">
        <v>13739</v>
      </c>
      <c r="F87" t="s">
        <v>33</v>
      </c>
      <c r="G87" t="s">
        <v>423</v>
      </c>
      <c r="I87">
        <v>721</v>
      </c>
      <c r="J87" t="s">
        <v>424</v>
      </c>
      <c r="K87" t="s">
        <v>30</v>
      </c>
    </row>
    <row r="88" spans="1:11" x14ac:dyDescent="0.35">
      <c r="A88" t="s">
        <v>425</v>
      </c>
      <c r="B88" t="s">
        <v>426</v>
      </c>
      <c r="C88" t="s">
        <v>427</v>
      </c>
      <c r="D88" t="s">
        <v>21</v>
      </c>
      <c r="E88">
        <v>7992</v>
      </c>
      <c r="F88" t="s">
        <v>15</v>
      </c>
      <c r="G88" t="s">
        <v>414</v>
      </c>
      <c r="I88">
        <v>352</v>
      </c>
      <c r="J88" t="s">
        <v>428</v>
      </c>
      <c r="K88" t="s">
        <v>57</v>
      </c>
    </row>
    <row r="89" spans="1:11" x14ac:dyDescent="0.35">
      <c r="A89" t="s">
        <v>429</v>
      </c>
      <c r="B89" t="s">
        <v>430</v>
      </c>
      <c r="C89" t="s">
        <v>229</v>
      </c>
      <c r="D89" t="s">
        <v>44</v>
      </c>
      <c r="E89">
        <v>3296</v>
      </c>
      <c r="F89" t="s">
        <v>33</v>
      </c>
      <c r="G89" t="s">
        <v>431</v>
      </c>
      <c r="I89">
        <v>227</v>
      </c>
      <c r="J89" t="s">
        <v>432</v>
      </c>
      <c r="K89" t="s">
        <v>17</v>
      </c>
    </row>
    <row r="90" spans="1:11" x14ac:dyDescent="0.35">
      <c r="A90" t="s">
        <v>433</v>
      </c>
      <c r="B90" t="s">
        <v>434</v>
      </c>
      <c r="C90" t="s">
        <v>435</v>
      </c>
      <c r="D90" t="s">
        <v>44</v>
      </c>
      <c r="E90">
        <v>123058</v>
      </c>
      <c r="F90" t="s">
        <v>33</v>
      </c>
      <c r="G90" t="s">
        <v>436</v>
      </c>
      <c r="I90">
        <v>208</v>
      </c>
      <c r="J90" t="s">
        <v>437</v>
      </c>
      <c r="K90" t="s">
        <v>30</v>
      </c>
    </row>
    <row r="91" spans="1:11" x14ac:dyDescent="0.35">
      <c r="A91" t="s">
        <v>438</v>
      </c>
      <c r="B91" t="s">
        <v>439</v>
      </c>
      <c r="C91" t="s">
        <v>440</v>
      </c>
      <c r="D91" t="s">
        <v>77</v>
      </c>
      <c r="E91">
        <v>67104</v>
      </c>
      <c r="F91" t="s">
        <v>33</v>
      </c>
      <c r="G91" t="s">
        <v>441</v>
      </c>
      <c r="H91" t="s">
        <v>131</v>
      </c>
      <c r="I91">
        <v>32</v>
      </c>
      <c r="J91" t="s">
        <v>442</v>
      </c>
      <c r="K91" t="s">
        <v>81</v>
      </c>
    </row>
    <row r="92" spans="1:11" x14ac:dyDescent="0.35">
      <c r="A92" t="s">
        <v>443</v>
      </c>
      <c r="B92" t="s">
        <v>444</v>
      </c>
      <c r="C92" t="s">
        <v>445</v>
      </c>
      <c r="D92" t="s">
        <v>14</v>
      </c>
      <c r="E92">
        <v>37369</v>
      </c>
      <c r="F92" t="s">
        <v>15</v>
      </c>
      <c r="G92" t="s">
        <v>446</v>
      </c>
      <c r="H92" t="s">
        <v>210</v>
      </c>
      <c r="I92">
        <v>40</v>
      </c>
      <c r="J92" t="s">
        <v>447</v>
      </c>
      <c r="K92" t="s">
        <v>81</v>
      </c>
    </row>
    <row r="93" spans="1:11" x14ac:dyDescent="0.35">
      <c r="A93" t="s">
        <v>448</v>
      </c>
      <c r="B93" t="s">
        <v>449</v>
      </c>
      <c r="C93" t="s">
        <v>450</v>
      </c>
      <c r="D93" t="s">
        <v>27</v>
      </c>
      <c r="E93">
        <v>235857</v>
      </c>
      <c r="F93" t="s">
        <v>33</v>
      </c>
      <c r="G93" t="s">
        <v>451</v>
      </c>
      <c r="I93">
        <v>544</v>
      </c>
      <c r="J93" t="s">
        <v>452</v>
      </c>
      <c r="K93" t="s">
        <v>23</v>
      </c>
    </row>
    <row r="94" spans="1:11" x14ac:dyDescent="0.35">
      <c r="A94" t="s">
        <v>453</v>
      </c>
      <c r="B94" t="s">
        <v>454</v>
      </c>
      <c r="C94" t="s">
        <v>455</v>
      </c>
      <c r="D94" t="s">
        <v>27</v>
      </c>
      <c r="E94">
        <v>105084</v>
      </c>
      <c r="F94" t="s">
        <v>33</v>
      </c>
      <c r="G94" t="s">
        <v>166</v>
      </c>
      <c r="H94" t="s">
        <v>379</v>
      </c>
      <c r="I94">
        <v>528</v>
      </c>
      <c r="J94" t="s">
        <v>456</v>
      </c>
      <c r="K94" t="s">
        <v>23</v>
      </c>
    </row>
    <row r="95" spans="1:11" x14ac:dyDescent="0.35">
      <c r="A95" t="s">
        <v>457</v>
      </c>
      <c r="B95" t="s">
        <v>458</v>
      </c>
      <c r="C95" t="s">
        <v>459</v>
      </c>
      <c r="D95" t="s">
        <v>14</v>
      </c>
      <c r="E95">
        <v>30260</v>
      </c>
      <c r="F95" t="s">
        <v>33</v>
      </c>
      <c r="G95" t="s">
        <v>460</v>
      </c>
      <c r="I95">
        <v>656</v>
      </c>
      <c r="J95" s="1">
        <v>42521</v>
      </c>
      <c r="K95" t="s">
        <v>57</v>
      </c>
    </row>
    <row r="96" spans="1:11" x14ac:dyDescent="0.35">
      <c r="A96" t="s">
        <v>461</v>
      </c>
      <c r="B96" t="s">
        <v>462</v>
      </c>
      <c r="C96" t="s">
        <v>463</v>
      </c>
      <c r="D96" t="s">
        <v>250</v>
      </c>
      <c r="E96">
        <v>168512</v>
      </c>
      <c r="F96" t="s">
        <v>33</v>
      </c>
      <c r="G96" t="s">
        <v>464</v>
      </c>
      <c r="I96">
        <v>336</v>
      </c>
      <c r="J96" t="s">
        <v>465</v>
      </c>
      <c r="K96" t="s">
        <v>23</v>
      </c>
    </row>
    <row r="97" spans="1:11" x14ac:dyDescent="0.35">
      <c r="A97" t="s">
        <v>466</v>
      </c>
      <c r="B97" t="s">
        <v>467</v>
      </c>
      <c r="C97" t="s">
        <v>468</v>
      </c>
      <c r="D97" t="s">
        <v>14</v>
      </c>
      <c r="E97">
        <v>40073</v>
      </c>
      <c r="F97" t="s">
        <v>15</v>
      </c>
      <c r="G97" t="s">
        <v>469</v>
      </c>
      <c r="H97" t="s">
        <v>177</v>
      </c>
      <c r="I97">
        <v>192</v>
      </c>
      <c r="J97" s="1">
        <v>43396</v>
      </c>
      <c r="K97" t="s">
        <v>158</v>
      </c>
    </row>
    <row r="98" spans="1:11" x14ac:dyDescent="0.35">
      <c r="A98" t="s">
        <v>470</v>
      </c>
      <c r="B98" t="s">
        <v>471</v>
      </c>
      <c r="C98" t="s">
        <v>472</v>
      </c>
      <c r="D98" t="s">
        <v>14</v>
      </c>
      <c r="E98">
        <v>91554</v>
      </c>
      <c r="F98" t="s">
        <v>33</v>
      </c>
      <c r="G98" t="s">
        <v>196</v>
      </c>
      <c r="I98">
        <v>224</v>
      </c>
      <c r="J98" t="s">
        <v>473</v>
      </c>
      <c r="K98" t="s">
        <v>17</v>
      </c>
    </row>
    <row r="99" spans="1:11" x14ac:dyDescent="0.35">
      <c r="A99" t="s">
        <v>474</v>
      </c>
      <c r="B99" t="s">
        <v>475</v>
      </c>
      <c r="C99" t="s">
        <v>476</v>
      </c>
      <c r="D99" t="s">
        <v>14</v>
      </c>
      <c r="E99">
        <v>89173</v>
      </c>
      <c r="F99" t="s">
        <v>33</v>
      </c>
      <c r="G99" t="s">
        <v>477</v>
      </c>
      <c r="H99" t="s">
        <v>183</v>
      </c>
      <c r="I99">
        <v>84</v>
      </c>
      <c r="J99" s="1">
        <v>43704</v>
      </c>
      <c r="K99" t="s">
        <v>81</v>
      </c>
    </row>
    <row r="100" spans="1:11" x14ac:dyDescent="0.35">
      <c r="A100" t="s">
        <v>478</v>
      </c>
      <c r="B100" t="s">
        <v>479</v>
      </c>
      <c r="C100" t="s">
        <v>445</v>
      </c>
      <c r="D100" t="s">
        <v>14</v>
      </c>
      <c r="E100">
        <v>34994</v>
      </c>
      <c r="F100" t="s">
        <v>15</v>
      </c>
      <c r="G100" t="s">
        <v>480</v>
      </c>
      <c r="H100" t="s">
        <v>210</v>
      </c>
      <c r="I100">
        <v>40</v>
      </c>
      <c r="J100" t="s">
        <v>481</v>
      </c>
      <c r="K100" t="s">
        <v>81</v>
      </c>
    </row>
    <row r="101" spans="1:11" x14ac:dyDescent="0.35">
      <c r="A101" t="s">
        <v>482</v>
      </c>
      <c r="B101" t="s">
        <v>483</v>
      </c>
      <c r="C101" t="s">
        <v>115</v>
      </c>
      <c r="D101" t="s">
        <v>191</v>
      </c>
      <c r="E101">
        <v>181184</v>
      </c>
      <c r="F101" t="s">
        <v>33</v>
      </c>
      <c r="G101" t="s">
        <v>484</v>
      </c>
      <c r="I101">
        <v>272</v>
      </c>
      <c r="J101" s="1">
        <v>43984</v>
      </c>
      <c r="K101" t="s">
        <v>23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2B84F2-782C-410E-AE1F-EB9480811E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</vt:lpstr>
      <vt:lpstr>Sheet4</vt:lpstr>
      <vt:lpstr>best sellin books 2023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KELVIN</dc:creator>
  <cp:lastModifiedBy>Admin</cp:lastModifiedBy>
  <dcterms:modified xsi:type="dcterms:W3CDTF">2026-03-02T15:25:04Z</dcterms:modified>
</cp:coreProperties>
</file>